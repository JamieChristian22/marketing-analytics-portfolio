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rketing-analytics-portfolio-advanced-excel/01_Amazon_Marketplace_Analytics_Dashboard/08_KPI_Workbooks/"/>
    </mc:Choice>
  </mc:AlternateContent>
  <xr:revisionPtr revIDLastSave="0" documentId="13_ncr:1_{FEA0F2FB-915C-424F-907A-C35C2C775D5B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Executive Dashboard" sheetId="1" r:id="rId1"/>
    <sheet name="Scenario Planner" sheetId="2" r:id="rId2"/>
    <sheet name="SEO_SEM Analysis" sheetId="3" r:id="rId3"/>
    <sheet name="AB Testing" sheetId="4" r:id="rId4"/>
    <sheet name="Raw Data" sheetId="5" r:id="rId5"/>
    <sheet name="Data Dictionary" sheetId="6" r:id="rId6"/>
  </sheets>
  <definedNames>
    <definedName name="_xlnm._FilterDatabase" localSheetId="4" hidden="1">'Raw Data'!$A$1:$AB$241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F5" i="4" s="1"/>
  <c r="C5" i="4"/>
  <c r="D5" i="4" s="1"/>
  <c r="B5" i="4"/>
  <c r="E4" i="4"/>
  <c r="F4" i="4" s="1"/>
  <c r="C4" i="4"/>
  <c r="D4" i="4" s="1"/>
  <c r="G4" i="4" s="1"/>
  <c r="B4" i="4"/>
  <c r="B9" i="3"/>
  <c r="B8" i="3"/>
  <c r="B6" i="3"/>
  <c r="B5" i="3"/>
  <c r="B7" i="3" s="1"/>
  <c r="B4" i="3"/>
  <c r="C9" i="2"/>
  <c r="D9" i="2" s="1"/>
  <c r="B9" i="2"/>
  <c r="F9" i="2" s="1"/>
  <c r="G9" i="2" s="1"/>
  <c r="H9" i="2" s="1"/>
  <c r="C8" i="2"/>
  <c r="D8" i="2" s="1"/>
  <c r="B8" i="2"/>
  <c r="F8" i="2" s="1"/>
  <c r="G8" i="2" s="1"/>
  <c r="H8" i="2" s="1"/>
  <c r="F7" i="2"/>
  <c r="C7" i="2"/>
  <c r="D7" i="2" s="1"/>
  <c r="G7" i="2" s="1"/>
  <c r="H7" i="2" s="1"/>
  <c r="B7" i="2"/>
  <c r="F6" i="2"/>
  <c r="G6" i="2" s="1"/>
  <c r="H6" i="2" s="1"/>
  <c r="D6" i="2"/>
  <c r="C6" i="2"/>
  <c r="B6" i="2"/>
  <c r="F5" i="2"/>
  <c r="C5" i="2"/>
  <c r="D5" i="2" s="1"/>
  <c r="B5" i="2"/>
  <c r="C4" i="2"/>
  <c r="D4" i="2" s="1"/>
  <c r="B4" i="2"/>
  <c r="F4" i="2" s="1"/>
  <c r="G4" i="2" s="1"/>
  <c r="H4" i="2" s="1"/>
  <c r="I17" i="1"/>
  <c r="E17" i="1"/>
  <c r="D17" i="1"/>
  <c r="F17" i="1" s="1"/>
  <c r="C17" i="1"/>
  <c r="H17" i="1" s="1"/>
  <c r="B17" i="1"/>
  <c r="G17" i="1" s="1"/>
  <c r="I16" i="1"/>
  <c r="E16" i="1"/>
  <c r="D16" i="1"/>
  <c r="F16" i="1" s="1"/>
  <c r="C16" i="1"/>
  <c r="H16" i="1" s="1"/>
  <c r="B16" i="1"/>
  <c r="G16" i="1" s="1"/>
  <c r="I15" i="1"/>
  <c r="E15" i="1"/>
  <c r="D15" i="1"/>
  <c r="F15" i="1" s="1"/>
  <c r="C15" i="1"/>
  <c r="H15" i="1" s="1"/>
  <c r="B15" i="1"/>
  <c r="G15" i="1" s="1"/>
  <c r="I14" i="1"/>
  <c r="E14" i="1"/>
  <c r="D14" i="1"/>
  <c r="F14" i="1" s="1"/>
  <c r="C14" i="1"/>
  <c r="H14" i="1" s="1"/>
  <c r="B14" i="1"/>
  <c r="G14" i="1" s="1"/>
  <c r="I13" i="1"/>
  <c r="E13" i="1"/>
  <c r="D13" i="1"/>
  <c r="F13" i="1" s="1"/>
  <c r="C13" i="1"/>
  <c r="H13" i="1" s="1"/>
  <c r="B13" i="1"/>
  <c r="G13" i="1" s="1"/>
  <c r="I12" i="1"/>
  <c r="E12" i="1"/>
  <c r="D12" i="1"/>
  <c r="F12" i="1" s="1"/>
  <c r="C12" i="1"/>
  <c r="H12" i="1" s="1"/>
  <c r="B12" i="1"/>
  <c r="G12" i="1" s="1"/>
  <c r="J7" i="1"/>
  <c r="G7" i="1"/>
  <c r="D7" i="1"/>
  <c r="A7" i="1"/>
  <c r="J4" i="1"/>
  <c r="G4" i="1"/>
  <c r="D4" i="1"/>
  <c r="A4" i="1"/>
  <c r="G5" i="2" l="1"/>
  <c r="H5" i="2" s="1"/>
  <c r="G5" i="4"/>
  <c r="B9" i="4" s="1"/>
</calcChain>
</file>

<file path=xl/sharedStrings.xml><?xml version="1.0" encoding="utf-8"?>
<sst xmlns="http://schemas.openxmlformats.org/spreadsheetml/2006/main" count="2042" uniqueCount="389">
  <si>
    <t>Amazon Marketplace Analytics Dashboard</t>
  </si>
  <si>
    <t>Total Revenue</t>
  </si>
  <si>
    <t>Total Spend</t>
  </si>
  <si>
    <t>Total Orders</t>
  </si>
  <si>
    <t>Total Sessions</t>
  </si>
  <si>
    <t>Conversion Rate</t>
  </si>
  <si>
    <t>ROAS</t>
  </si>
  <si>
    <t>Average Retention</t>
  </si>
  <si>
    <t>Avg Landing Score</t>
  </si>
  <si>
    <t>Channel Performance Summary</t>
  </si>
  <si>
    <t>Channel</t>
  </si>
  <si>
    <t>Revenue</t>
  </si>
  <si>
    <t>Spend</t>
  </si>
  <si>
    <t>Orders</t>
  </si>
  <si>
    <t>Sessions</t>
  </si>
  <si>
    <t>CPA</t>
  </si>
  <si>
    <t>Avg Retention</t>
  </si>
  <si>
    <t>Organic Search</t>
  </si>
  <si>
    <t>Paid Search</t>
  </si>
  <si>
    <t>Paid Social</t>
  </si>
  <si>
    <t>Email</t>
  </si>
  <si>
    <t>Referral</t>
  </si>
  <si>
    <t>Direct</t>
  </si>
  <si>
    <t>Marketing Budget Scenario Planner</t>
  </si>
  <si>
    <t>Current Spend</t>
  </si>
  <si>
    <t>Current Revenue</t>
  </si>
  <si>
    <t>Current ROAS</t>
  </si>
  <si>
    <t>Budget Change %</t>
  </si>
  <si>
    <t>New Spend</t>
  </si>
  <si>
    <t>Projected Revenue</t>
  </si>
  <si>
    <t>Projected ROI</t>
  </si>
  <si>
    <t>Notes</t>
  </si>
  <si>
    <t>Blue input cells in Budget Change % can be adjusted for different spend scenarios.</t>
  </si>
  <si>
    <t>SEO and SEM Analysis</t>
  </si>
  <si>
    <t>Metric</t>
  </si>
  <si>
    <t>Formula / Source</t>
  </si>
  <si>
    <t>Interpretation</t>
  </si>
  <si>
    <t>SEO Revenue</t>
  </si>
  <si>
    <t>Organic revenue value</t>
  </si>
  <si>
    <t>SEM Revenue</t>
  </si>
  <si>
    <t>Paid search revenue value</t>
  </si>
  <si>
    <t>SEM Spend</t>
  </si>
  <si>
    <t>Paid search budget</t>
  </si>
  <si>
    <t>SEM ROAS</t>
  </si>
  <si>
    <t>Paid search return</t>
  </si>
  <si>
    <t>Avg SEO Position</t>
  </si>
  <si>
    <t>SEO visibility</t>
  </si>
  <si>
    <t>Avg Landing Page Score</t>
  </si>
  <si>
    <t>Landing page quality</t>
  </si>
  <si>
    <t>SEO Recommendation</t>
  </si>
  <si>
    <t>Improve metadata, internal links, and landing page content for keywords ranking positions 8-20.</t>
  </si>
  <si>
    <t>SEM Recommendation</t>
  </si>
  <si>
    <t>Move budget toward campaigns with ROAS above target and CPA below target.</t>
  </si>
  <si>
    <t>A/B Test Summary</t>
  </si>
  <si>
    <t>Variant</t>
  </si>
  <si>
    <t>Revenue/User</t>
  </si>
  <si>
    <t>Lift vs Control</t>
  </si>
  <si>
    <t>A - Control</t>
  </si>
  <si>
    <t>B - New Experience</t>
  </si>
  <si>
    <t>Decision Rule</t>
  </si>
  <si>
    <t>Roll out Variant B if conversion lift is positive and revenue/user is above control.</t>
  </si>
  <si>
    <t>Recommendation</t>
  </si>
  <si>
    <t>Date</t>
  </si>
  <si>
    <t>Month</t>
  </si>
  <si>
    <t>Device</t>
  </si>
  <si>
    <t>Category</t>
  </si>
  <si>
    <t>Campaign</t>
  </si>
  <si>
    <t>Keyword_or_Audience</t>
  </si>
  <si>
    <t>Experiment_Variant</t>
  </si>
  <si>
    <t>Impressions</t>
  </si>
  <si>
    <t>Clicks</t>
  </si>
  <si>
    <t>Leads</t>
  </si>
  <si>
    <t>Cart_Additions</t>
  </si>
  <si>
    <t>Checkout_Starts</t>
  </si>
  <si>
    <t>Purchases</t>
  </si>
  <si>
    <t>AOV</t>
  </si>
  <si>
    <t>CTR</t>
  </si>
  <si>
    <t>Conversion_Rate</t>
  </si>
  <si>
    <t>CPC</t>
  </si>
  <si>
    <t>Retention_Rate</t>
  </si>
  <si>
    <t>SEO_Avg_Position</t>
  </si>
  <si>
    <t>Landing_Page_Score</t>
  </si>
  <si>
    <t>Customer_Satisfaction</t>
  </si>
  <si>
    <t>2026-01-01</t>
  </si>
  <si>
    <t>Jan</t>
  </si>
  <si>
    <t>Desktop</t>
  </si>
  <si>
    <t>Home</t>
  </si>
  <si>
    <t>Paid_Search_Campaign_1</t>
  </si>
  <si>
    <t>summer outfits</t>
  </si>
  <si>
    <t>2026-01-02</t>
  </si>
  <si>
    <t>Tablet</t>
  </si>
  <si>
    <t>Fitness</t>
  </si>
  <si>
    <t>Organic_Search_Campaign_1</t>
  </si>
  <si>
    <t>protein powder</t>
  </si>
  <si>
    <t>2026-01-03</t>
  </si>
  <si>
    <t>Grocery</t>
  </si>
  <si>
    <t>Referral_Campaign_2</t>
  </si>
  <si>
    <t>home office desk</t>
  </si>
  <si>
    <t>2026-01-04</t>
  </si>
  <si>
    <t>Referral_Campaign_4</t>
  </si>
  <si>
    <t>best wireless earbuds</t>
  </si>
  <si>
    <t>2026-01-05</t>
  </si>
  <si>
    <t>Mobile</t>
  </si>
  <si>
    <t>Organic_Search_Campaign_5</t>
  </si>
  <si>
    <t>2026-01-06</t>
  </si>
  <si>
    <t>Paid_Social_Campaign_3</t>
  </si>
  <si>
    <t>2026-01-07</t>
  </si>
  <si>
    <t>Apparel</t>
  </si>
  <si>
    <t>Paid_Search_Campaign_5</t>
  </si>
  <si>
    <t>2026-01-08</t>
  </si>
  <si>
    <t>Organic_Search_Campaign_4</t>
  </si>
  <si>
    <t>2026-01-09</t>
  </si>
  <si>
    <t>Direct_Campaign_5</t>
  </si>
  <si>
    <t>2026-01-10</t>
  </si>
  <si>
    <t>Electronics</t>
  </si>
  <si>
    <t>2026-01-11</t>
  </si>
  <si>
    <t>Beauty</t>
  </si>
  <si>
    <t>Paid_Social_Campaign_5</t>
  </si>
  <si>
    <t>mens running shoes</t>
  </si>
  <si>
    <t>2026-01-12</t>
  </si>
  <si>
    <t>Direct_Campaign_2</t>
  </si>
  <si>
    <t>skincare bundle</t>
  </si>
  <si>
    <t>2026-01-13</t>
  </si>
  <si>
    <t>Referral_Campaign_5</t>
  </si>
  <si>
    <t>2026-01-14</t>
  </si>
  <si>
    <t>2026-01-15</t>
  </si>
  <si>
    <t>2026-01-16</t>
  </si>
  <si>
    <t>2026-01-17</t>
  </si>
  <si>
    <t>2026-01-18</t>
  </si>
  <si>
    <t>2026-01-19</t>
  </si>
  <si>
    <t>Paid_Social_Campaign_2</t>
  </si>
  <si>
    <t>2026-01-20</t>
  </si>
  <si>
    <t>Email_Campaign_5</t>
  </si>
  <si>
    <t>2026-01-21</t>
  </si>
  <si>
    <t>Email_Campaign_4</t>
  </si>
  <si>
    <t>2026-01-22</t>
  </si>
  <si>
    <t>Direct_Campaign_1</t>
  </si>
  <si>
    <t>2026-01-23</t>
  </si>
  <si>
    <t>Direct_Campaign_4</t>
  </si>
  <si>
    <t>2026-01-24</t>
  </si>
  <si>
    <t>2026-01-25</t>
  </si>
  <si>
    <t>2026-01-26</t>
  </si>
  <si>
    <t>Email_Campaign_2</t>
  </si>
  <si>
    <t>2026-01-27</t>
  </si>
  <si>
    <t>Organic_Search_Campaign_2</t>
  </si>
  <si>
    <t>2026-01-28</t>
  </si>
  <si>
    <t>2026-01-29</t>
  </si>
  <si>
    <t>Paid_Search_Campaign_3</t>
  </si>
  <si>
    <t>2026-01-30</t>
  </si>
  <si>
    <t>Email_Campaign_1</t>
  </si>
  <si>
    <t>2026-01-31</t>
  </si>
  <si>
    <t>2026-02-01</t>
  </si>
  <si>
    <t>Feb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</si>
  <si>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</si>
  <si>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</si>
  <si>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</si>
  <si>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</si>
  <si>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</si>
  <si>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</si>
  <si>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</si>
  <si>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</si>
  <si>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Direct_Campaign_3</t>
  </si>
  <si>
    <t>2026-02-10</t>
  </si>
  <si>
    <t>Email_Campaign_3</t>
  </si>
  <si>
    <t>2026-02-11</t>
  </si>
  <si>
    <t>2026-02-12</t>
  </si>
  <si>
    <t>Paid_Search_Campaign_2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</si>
  <si>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</si>
  <si>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</si>
  <si>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</si>
  <si>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</si>
  <si>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</si>
  <si>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</si>
  <si>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</si>
  <si>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</si>
  <si>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</si>
  <si>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Paid_Search_Campaign_4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</si>
  <si>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</si>
  <si>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</si>
  <si>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</si>
  <si>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</si>
  <si>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</si>
  <si>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</si>
  <si>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</si>
  <si>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</si>
  <si>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Mar</t>
  </si>
  <si>
    <t>2026-03-02</t>
  </si>
  <si>
    <t>Organic_Search_Campaign_3</t>
  </si>
  <si>
    <t>2026-03-03</t>
  </si>
  <si>
    <t>2026-03-04</t>
  </si>
  <si>
    <t>Referral_Campaign_1</t>
  </si>
  <si>
    <t>2026-03-05</t>
  </si>
  <si>
    <t>Paid_Social_Campaign_1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</si>
  <si>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</si>
  <si>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</si>
  <si>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</si>
  <si>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</si>
  <si>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</si>
  <si>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</si>
  <si>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</si>
  <si>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</si>
  <si>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</si>
  <si>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</si>
  <si>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</si>
  <si>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</si>
  <si>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</si>
  <si>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</si>
  <si>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</si>
  <si>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</si>
  <si>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</si>
  <si>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</si>
  <si>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</si>
  <si>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</si>
  <si>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</si>
  <si>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</si>
  <si>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</si>
  <si>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</si>
  <si>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</si>
  <si>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</si>
  <si>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Referral_Campaign_3</t>
  </si>
  <si>
    <t>2026-04-01</t>
  </si>
  <si>
    <t>Apr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</si>
  <si>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</si>
  <si>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</si>
  <si>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</si>
  <si>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</si>
  <si>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</si>
  <si>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</si>
  <si>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</si>
  <si>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</si>
  <si>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</si>
  <si>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Paid_Social_Campaign_4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</si>
  <si>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</si>
  <si>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</si>
  <si>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</si>
  <si>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</si>
  <si>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</si>
  <si>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</si>
  <si>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</si>
  <si>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</si>
  <si>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</si>
  <si>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</si>
  <si>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</si>
  <si>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</si>
  <si>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</si>
  <si>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</si>
  <si>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</si>
  <si>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</si>
  <si>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</si>
  <si>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</si>
  <si>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</si>
  <si>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</si>
  <si>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</si>
  <si>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May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</si>
  <si>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</si>
  <si>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</si>
  <si>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</si>
  <si>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</si>
  <si>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</si>
  <si>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</si>
  <si>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</si>
  <si>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</si>
  <si>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</si>
  <si>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</si>
  <si>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</si>
  <si>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</si>
  <si>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</si>
  <si>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</si>
  <si>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</si>
  <si>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</si>
  <si>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</si>
  <si>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</si>
  <si>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</si>
  <si>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</si>
  <si>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</si>
  <si>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</si>
  <si>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</si>
  <si>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</si>
  <si>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</si>
  <si>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</si>
  <si>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</si>
  <si>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</si>
  <si>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</si>
  <si>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</si>
  <si>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</si>
  <si>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Jun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</si>
  <si>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</si>
  <si>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</si>
  <si>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</si>
  <si>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</si>
  <si>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</si>
  <si>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</si>
  <si>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</si>
  <si>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</si>
  <si>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</si>
  <si>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</si>
  <si>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</si>
  <si>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</si>
  <si>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</si>
  <si>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</si>
  <si>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</si>
  <si>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</si>
  <si>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</si>
  <si>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</si>
  <si>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</si>
  <si>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</si>
  <si>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</si>
  <si>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</si>
  <si>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</si>
  <si>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</si>
  <si>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</si>
  <si>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</si>
  <si>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</si>
  <si>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</si>
  <si>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</si>
  <si>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</si>
  <si>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Jul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</si>
  <si>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</si>
  <si>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</si>
  <si>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</si>
  <si>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</si>
  <si>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</si>
  <si>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</si>
  <si>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</si>
  <si>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</si>
  <si>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</si>
  <si>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</si>
  <si>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</si>
  <si>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</si>
  <si>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</si>
  <si>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</si>
  <si>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</si>
  <si>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</si>
  <si>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</si>
  <si>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</si>
  <si>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</si>
  <si>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</si>
  <si>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</si>
  <si>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</si>
  <si>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</si>
  <si>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</si>
  <si>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</si>
  <si>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</si>
  <si>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</si>
  <si>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</si>
  <si>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</si>
  <si>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</si>
  <si>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</si>
  <si>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Aug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</si>
  <si>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</si>
  <si>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</si>
  <si>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</si>
  <si>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</si>
  <si>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</si>
  <si>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</si>
  <si>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</si>
  <si>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</si>
  <si>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</si>
  <si>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</si>
  <si>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</si>
  <si>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</si>
  <si>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</si>
  <si>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</si>
  <si>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</si>
  <si>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</si>
  <si>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</si>
  <si>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</si>
  <si>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</si>
  <si>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</si>
  <si>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</si>
  <si>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</si>
  <si>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</si>
  <si>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</si>
  <si>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</si>
  <si>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</si>
  <si>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</si>
  <si>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Data Dictionary</t>
  </si>
  <si>
    <t>Field</t>
  </si>
  <si>
    <t>Definition</t>
  </si>
  <si>
    <t>Total simulated sales revenue generated.</t>
  </si>
  <si>
    <t>Marketing campaign spend.</t>
  </si>
  <si>
    <t>Revenue divided by marketing spend.</t>
  </si>
  <si>
    <t>Spend divided by orders.</t>
  </si>
  <si>
    <t>Orders divided by sessions.</t>
  </si>
  <si>
    <t>Clicks divided by impressions.</t>
  </si>
  <si>
    <t>SEO Average Position</t>
  </si>
  <si>
    <t>Average search ranking position for organic keywords.</t>
  </si>
  <si>
    <t>Landing Page Score</t>
  </si>
  <si>
    <t>Quality score for SEO/SEM landing page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</si>
</sst>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0.0\x"/>
    <numFmt numFmtId="167" formatCode="0.0"/>
    <numFmt numFmtId="168" formatCode="\$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vertical="center" wrapText="1"/>
    </xf>
    <xf numFmtId="166" fontId="3" fillId="3" borderId="1" xfId="0" applyNumberFormat="1" applyFont="1" applyFill="1" applyBorder="1" applyAlignment="1">
      <alignment vertical="center" wrapText="1"/>
    </xf>
    <xf numFmtId="167" fontId="3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65" fontId="5" fillId="4" borderId="0" xfId="0" applyNumberFormat="1" applyFont="1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4" fontId="0" fillId="0" borderId="2" xfId="0" applyNumberForma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Dashboard'!$B$11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Dashboard'!$A$12:$A$17</c:f>
              <c:strCache>
                <c:ptCount val="6"/>
                <c:pt idx="0">
                  <c:v>Organic Search</c:v>
                </c:pt>
                <c:pt idx="1">
                  <c:v>Paid Search</c:v>
                </c:pt>
                <c:pt idx="2">
                  <c:v>Paid Social</c:v>
                </c:pt>
                <c:pt idx="3">
                  <c:v>Email</c:v>
                </c:pt>
                <c:pt idx="4">
                  <c:v>Referral</c:v>
                </c:pt>
                <c:pt idx="5">
                  <c:v>Direct</c:v>
                </c:pt>
              </c:strCache>
            </c:strRef>
          </c:cat>
          <c:val>
            <c:numRef>
              <c:f>'Executive Dashboard'!$B$12:$B$17</c:f>
              <c:numCache>
                <c:formatCode>\$#,##0</c:formatCode>
                <c:ptCount val="6"/>
                <c:pt idx="0">
                  <c:v>1220085</c:v>
                </c:pt>
                <c:pt idx="1">
                  <c:v>2309514</c:v>
                </c:pt>
                <c:pt idx="2">
                  <c:v>1466490</c:v>
                </c:pt>
                <c:pt idx="3">
                  <c:v>1268313</c:v>
                </c:pt>
                <c:pt idx="4">
                  <c:v>1341614</c:v>
                </c:pt>
                <c:pt idx="5">
                  <c:v>1029107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0-C040-90AE-4509522E4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Conversion Rate by Channel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'Executive Dashboard'!$F$11</c:f>
              <c:strCache>
                <c:ptCount val="1"/>
                <c:pt idx="0">
                  <c:v>Conversion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Dashboard'!$A$12:$A$17</c:f>
              <c:strCache>
                <c:ptCount val="6"/>
                <c:pt idx="0">
                  <c:v>Organic Search</c:v>
                </c:pt>
                <c:pt idx="1">
                  <c:v>Paid Search</c:v>
                </c:pt>
                <c:pt idx="2">
                  <c:v>Paid Social</c:v>
                </c:pt>
                <c:pt idx="3">
                  <c:v>Email</c:v>
                </c:pt>
                <c:pt idx="4">
                  <c:v>Referral</c:v>
                </c:pt>
                <c:pt idx="5">
                  <c:v>Direct</c:v>
                </c:pt>
              </c:strCache>
            </c:strRef>
          </c:cat>
          <c:val>
            <c:numRef>
              <c:f>'Executive Dashboard'!$F$12:$F$17</c:f>
              <c:numCache>
                <c:formatCode>0.0%</c:formatCode>
                <c:ptCount val="6"/>
                <c:pt idx="0">
                  <c:v>5.0212026046379588E-2</c:v>
                </c:pt>
                <c:pt idx="1">
                  <c:v>5.6235691115567497E-2</c:v>
                </c:pt>
                <c:pt idx="2">
                  <c:v>4.0587103706631045E-2</c:v>
                </c:pt>
                <c:pt idx="3">
                  <c:v>7.3346717770882766E-2</c:v>
                </c:pt>
                <c:pt idx="4">
                  <c:v>6.5488323974101009E-2</c:v>
                </c:pt>
                <c:pt idx="5">
                  <c:v>4.7301368888045363E-2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CF-FB46-9FF8-9132BC77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tabSelected="1" workbookViewId="0">
      <selection activeCell="D7" sqref="D7"/>
    </sheetView>
  </sheetViews>
  <sheetFormatPr baseColWidth="10" defaultColWidth="8.83203125" defaultRowHeight="15" x14ac:dyDescent="0.2"/>
  <cols>
    <col min="1" max="14" width="16" customWidth="1"/>
  </cols>
  <sheetData>
    <row r="1" spans="1:14" ht="18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8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 x14ac:dyDescent="0.2">
      <c r="A3" s="2" t="s">
        <v>1</v>
      </c>
      <c r="B3" s="1"/>
      <c r="C3" s="1"/>
      <c r="D3" s="2" t="s">
        <v>2</v>
      </c>
      <c r="E3" s="1"/>
      <c r="F3" s="1"/>
      <c r="G3" s="2" t="s">
        <v>3</v>
      </c>
      <c r="H3" s="1"/>
      <c r="I3" s="1"/>
      <c r="J3" s="2" t="s">
        <v>4</v>
      </c>
      <c r="K3" s="1"/>
      <c r="L3" s="1"/>
      <c r="M3" s="1"/>
      <c r="N3" s="1"/>
    </row>
    <row r="4" spans="1:14" ht="18" customHeight="1" x14ac:dyDescent="0.2">
      <c r="A4" s="3">
        <f>SUM('Raw Data'!Q:Q)</f>
        <v>8635123</v>
      </c>
      <c r="B4" s="1"/>
      <c r="C4" s="1"/>
      <c r="D4" s="3">
        <f>SUM('Raw Data'!R:R)</f>
        <v>2458385</v>
      </c>
      <c r="E4" s="1"/>
      <c r="F4" s="1"/>
      <c r="G4" s="4">
        <f>SUM('Raw Data'!O:O)</f>
        <v>80509</v>
      </c>
      <c r="H4" s="1"/>
      <c r="I4" s="1"/>
      <c r="J4" s="4">
        <f>SUM('Raw Data'!K:K)</f>
        <v>1486921</v>
      </c>
      <c r="K4" s="1"/>
      <c r="L4" s="1"/>
      <c r="M4" s="1"/>
      <c r="N4" s="1"/>
    </row>
    <row r="5" spans="1:14" ht="18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 x14ac:dyDescent="0.2">
      <c r="A6" s="2" t="s">
        <v>5</v>
      </c>
      <c r="B6" s="1"/>
      <c r="C6" s="1"/>
      <c r="D6" s="2" t="s">
        <v>6</v>
      </c>
      <c r="E6" s="1"/>
      <c r="F6" s="1"/>
      <c r="G6" s="2" t="s">
        <v>7</v>
      </c>
      <c r="H6" s="1"/>
      <c r="I6" s="1"/>
      <c r="J6" s="2" t="s">
        <v>8</v>
      </c>
      <c r="K6" s="1"/>
      <c r="L6" s="1"/>
      <c r="M6" s="1"/>
      <c r="N6" s="1"/>
    </row>
    <row r="7" spans="1:14" ht="18" customHeight="1" x14ac:dyDescent="0.2">
      <c r="A7" s="5" t="e">
        <f>C5/F5</f>
        <v>#DIV/0!</v>
      </c>
      <c r="B7" s="1"/>
      <c r="C7" s="1"/>
      <c r="D7" s="6" t="e">
        <f>C4/C3</f>
        <v>#DIV/0!</v>
      </c>
      <c r="E7" s="1"/>
      <c r="F7" s="1"/>
      <c r="G7" s="5">
        <f>AVERAGE('Raw Data'!Y:Y)</f>
        <v>0.41705708333333369</v>
      </c>
      <c r="H7" s="1"/>
      <c r="I7" s="1"/>
      <c r="J7" s="7">
        <f>AVERAGE('Raw Data'!AA:AA)</f>
        <v>79.924999999999997</v>
      </c>
      <c r="K7" s="1"/>
      <c r="L7" s="1"/>
      <c r="M7" s="1"/>
      <c r="N7" s="1"/>
    </row>
    <row r="8" spans="1:14" ht="18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 x14ac:dyDescent="0.2">
      <c r="A10" s="2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 x14ac:dyDescent="0.2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5</v>
      </c>
      <c r="G11" s="2" t="s">
        <v>6</v>
      </c>
      <c r="H11" s="2" t="s">
        <v>15</v>
      </c>
      <c r="I11" s="2" t="s">
        <v>16</v>
      </c>
      <c r="J11" s="1"/>
      <c r="K11" s="1"/>
      <c r="L11" s="1"/>
      <c r="M11" s="1"/>
      <c r="N11" s="1"/>
    </row>
    <row r="12" spans="1:14" ht="18" customHeight="1" x14ac:dyDescent="0.2">
      <c r="A12" s="8" t="s">
        <v>17</v>
      </c>
      <c r="B12" s="9">
        <f>SUMIF('Raw Data'!$C:$C,A12,'Raw Data'!$Q:$Q)</f>
        <v>1220085</v>
      </c>
      <c r="C12" s="9">
        <f>SUMIF('Raw Data'!$C:$C,A12,'Raw Data'!$R:$R)</f>
        <v>0</v>
      </c>
      <c r="D12" s="8">
        <f>SUMIF('Raw Data'!$C:$C,A12,'Raw Data'!$O:$O)</f>
        <v>11320</v>
      </c>
      <c r="E12" s="8">
        <f>SUMIF('Raw Data'!$C:$C,A12,'Raw Data'!$K:$K)</f>
        <v>225444</v>
      </c>
      <c r="F12" s="10">
        <f t="shared" ref="F12:F17" si="0">IFERROR(D12/E12,0)</f>
        <v>5.0212026046379588E-2</v>
      </c>
      <c r="G12" s="11">
        <f t="shared" ref="G12:H17" si="1">IFERROR(B12/C12,0)</f>
        <v>0</v>
      </c>
      <c r="H12" s="9">
        <f t="shared" si="1"/>
        <v>0</v>
      </c>
      <c r="I12" s="10">
        <f>AVERAGEIF('Raw Data'!$C:$C,A12,'Raw Data'!$Y:$Y)</f>
        <v>0.44887631578947351</v>
      </c>
      <c r="J12" s="1"/>
      <c r="K12" s="1"/>
      <c r="L12" s="1"/>
      <c r="M12" s="1"/>
      <c r="N12" s="1"/>
    </row>
    <row r="13" spans="1:14" ht="18" customHeight="1" x14ac:dyDescent="0.2">
      <c r="A13" s="8" t="s">
        <v>18</v>
      </c>
      <c r="B13" s="9">
        <f>SUMIF('Raw Data'!$C:$C,A13,'Raw Data'!$Q:$Q)</f>
        <v>2309514</v>
      </c>
      <c r="C13" s="9">
        <f>SUMIF('Raw Data'!$C:$C,A13,'Raw Data'!$R:$R)</f>
        <v>1063114</v>
      </c>
      <c r="D13" s="8">
        <f>SUMIF('Raw Data'!$C:$C,A13,'Raw Data'!$O:$O)</f>
        <v>19798</v>
      </c>
      <c r="E13" s="8">
        <f>SUMIF('Raw Data'!$C:$C,A13,'Raw Data'!$K:$K)</f>
        <v>352054</v>
      </c>
      <c r="F13" s="10">
        <f t="shared" si="0"/>
        <v>5.6235691115567497E-2</v>
      </c>
      <c r="G13" s="11">
        <f t="shared" si="1"/>
        <v>2.1724048408731331</v>
      </c>
      <c r="H13" s="9">
        <f t="shared" si="1"/>
        <v>53.698050308111931</v>
      </c>
      <c r="I13" s="10">
        <f>AVERAGEIF('Raw Data'!$C:$C,A13,'Raw Data'!$Y:$Y)</f>
        <v>0.38816785714285712</v>
      </c>
      <c r="J13" s="1"/>
      <c r="K13" s="1"/>
      <c r="L13" s="1"/>
      <c r="M13" s="1"/>
      <c r="N13" s="1"/>
    </row>
    <row r="14" spans="1:14" ht="18" customHeight="1" x14ac:dyDescent="0.2">
      <c r="A14" s="8" t="s">
        <v>19</v>
      </c>
      <c r="B14" s="9">
        <f>SUMIF('Raw Data'!$C:$C,A14,'Raw Data'!$Q:$Q)</f>
        <v>1466490</v>
      </c>
      <c r="C14" s="9">
        <f>SUMIF('Raw Data'!$C:$C,A14,'Raw Data'!$R:$R)</f>
        <v>800509</v>
      </c>
      <c r="D14" s="8">
        <f>SUMIF('Raw Data'!$C:$C,A14,'Raw Data'!$O:$O)</f>
        <v>12427</v>
      </c>
      <c r="E14" s="8">
        <f>SUMIF('Raw Data'!$C:$C,A14,'Raw Data'!$K:$K)</f>
        <v>306181</v>
      </c>
      <c r="F14" s="10">
        <f t="shared" si="0"/>
        <v>4.0587103706631045E-2</v>
      </c>
      <c r="G14" s="11">
        <f t="shared" si="1"/>
        <v>1.8319469237697514</v>
      </c>
      <c r="H14" s="9">
        <f t="shared" si="1"/>
        <v>64.416914782328803</v>
      </c>
      <c r="I14" s="10">
        <f>AVERAGEIF('Raw Data'!$C:$C,A14,'Raw Data'!$Y:$Y)</f>
        <v>0.39225813953488364</v>
      </c>
      <c r="J14" s="1"/>
      <c r="K14" s="1"/>
      <c r="L14" s="1"/>
      <c r="M14" s="1"/>
      <c r="N14" s="1"/>
    </row>
    <row r="15" spans="1:14" ht="18" customHeight="1" x14ac:dyDescent="0.2">
      <c r="A15" s="8" t="s">
        <v>20</v>
      </c>
      <c r="B15" s="9">
        <f>SUMIF('Raw Data'!$C:$C,A15,'Raw Data'!$Q:$Q)</f>
        <v>1268313</v>
      </c>
      <c r="C15" s="9">
        <f>SUMIF('Raw Data'!$C:$C,A15,'Raw Data'!$R:$R)</f>
        <v>594762</v>
      </c>
      <c r="D15" s="8">
        <f>SUMIF('Raw Data'!$C:$C,A15,'Raw Data'!$O:$O)</f>
        <v>12056</v>
      </c>
      <c r="E15" s="8">
        <f>SUMIF('Raw Data'!$C:$C,A15,'Raw Data'!$K:$K)</f>
        <v>164370</v>
      </c>
      <c r="F15" s="10">
        <f t="shared" si="0"/>
        <v>7.3346717770882766E-2</v>
      </c>
      <c r="G15" s="11">
        <f t="shared" si="1"/>
        <v>2.1324714759853522</v>
      </c>
      <c r="H15" s="9">
        <f t="shared" si="1"/>
        <v>49.333278035832784</v>
      </c>
      <c r="I15" s="10">
        <f>AVERAGEIF('Raw Data'!$C:$C,A15,'Raw Data'!$Y:$Y)</f>
        <v>0.41185172413793092</v>
      </c>
      <c r="J15" s="1"/>
      <c r="K15" s="1"/>
      <c r="L15" s="1"/>
      <c r="M15" s="1"/>
      <c r="N15" s="1"/>
    </row>
    <row r="16" spans="1:14" ht="18" customHeight="1" x14ac:dyDescent="0.2">
      <c r="A16" s="8" t="s">
        <v>21</v>
      </c>
      <c r="B16" s="9">
        <f>SUMIF('Raw Data'!$C:$C,A16,'Raw Data'!$Q:$Q)</f>
        <v>1341614</v>
      </c>
      <c r="C16" s="9">
        <f>SUMIF('Raw Data'!$C:$C,A16,'Raw Data'!$R:$R)</f>
        <v>0</v>
      </c>
      <c r="D16" s="8">
        <f>SUMIF('Raw Data'!$C:$C,A16,'Raw Data'!$O:$O)</f>
        <v>14939</v>
      </c>
      <c r="E16" s="8">
        <f>SUMIF('Raw Data'!$C:$C,A16,'Raw Data'!$K:$K)</f>
        <v>228117</v>
      </c>
      <c r="F16" s="10">
        <f t="shared" si="0"/>
        <v>6.5488323974101009E-2</v>
      </c>
      <c r="G16" s="11">
        <f t="shared" si="1"/>
        <v>0</v>
      </c>
      <c r="H16" s="9">
        <f t="shared" si="1"/>
        <v>0</v>
      </c>
      <c r="I16" s="10">
        <f>AVERAGEIF('Raw Data'!$C:$C,A16,'Raw Data'!$Y:$Y)</f>
        <v>0.43745000000000006</v>
      </c>
      <c r="J16" s="1"/>
      <c r="K16" s="1"/>
      <c r="L16" s="1"/>
      <c r="M16" s="1"/>
      <c r="N16" s="1"/>
    </row>
    <row r="17" spans="1:14" ht="18" customHeight="1" x14ac:dyDescent="0.2">
      <c r="A17" s="8" t="s">
        <v>22</v>
      </c>
      <c r="B17" s="9">
        <f>SUMIF('Raw Data'!$C:$C,A17,'Raw Data'!$Q:$Q)</f>
        <v>1029107</v>
      </c>
      <c r="C17" s="9">
        <f>SUMIF('Raw Data'!$C:$C,A17,'Raw Data'!$R:$R)</f>
        <v>0</v>
      </c>
      <c r="D17" s="8">
        <f>SUMIF('Raw Data'!$C:$C,A17,'Raw Data'!$O:$O)</f>
        <v>9969</v>
      </c>
      <c r="E17" s="8">
        <f>SUMIF('Raw Data'!$C:$C,A17,'Raw Data'!$K:$K)</f>
        <v>210755</v>
      </c>
      <c r="F17" s="10">
        <f t="shared" si="0"/>
        <v>4.7301368888045363E-2</v>
      </c>
      <c r="G17" s="11">
        <f t="shared" si="1"/>
        <v>0</v>
      </c>
      <c r="H17" s="9">
        <f t="shared" si="1"/>
        <v>0</v>
      </c>
      <c r="I17" s="10">
        <f>AVERAGEIF('Raw Data'!$C:$C,A17,'Raw Data'!$Y:$Y)</f>
        <v>0.44037250000000006</v>
      </c>
      <c r="J17" s="1"/>
      <c r="K17" s="1"/>
      <c r="L17" s="1"/>
      <c r="M17" s="1"/>
      <c r="N17" s="1"/>
    </row>
  </sheetData>
  <mergeCells count="1">
    <mergeCell ref="A1:N1"/>
  </mergeCells>
  <conditionalFormatting sqref="F12:F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H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selection sqref="A1:H1"/>
    </sheetView>
  </sheetViews>
  <sheetFormatPr baseColWidth="10" defaultColWidth="8.83203125" defaultRowHeight="15" x14ac:dyDescent="0.2"/>
  <cols>
    <col min="1" max="8" width="16" customWidth="1"/>
  </cols>
  <sheetData>
    <row r="1" spans="1:8" ht="18" customHeight="1" x14ac:dyDescent="0.2">
      <c r="A1" s="26" t="s">
        <v>23</v>
      </c>
      <c r="B1" s="25"/>
      <c r="C1" s="25"/>
      <c r="D1" s="25"/>
      <c r="E1" s="25"/>
      <c r="F1" s="25"/>
      <c r="G1" s="25"/>
      <c r="H1" s="25"/>
    </row>
    <row r="2" spans="1:8" ht="18" customHeight="1" x14ac:dyDescent="0.2">
      <c r="A2" s="1"/>
      <c r="B2" s="1"/>
      <c r="C2" s="1"/>
      <c r="D2" s="1"/>
      <c r="E2" s="1"/>
      <c r="F2" s="1"/>
      <c r="G2" s="1"/>
      <c r="H2" s="1"/>
    </row>
    <row r="3" spans="1:8" ht="18" customHeight="1" x14ac:dyDescent="0.2">
      <c r="A3" s="2" t="s">
        <v>10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</row>
    <row r="4" spans="1:8" ht="18" customHeight="1" x14ac:dyDescent="0.2">
      <c r="A4" s="1" t="s">
        <v>17</v>
      </c>
      <c r="B4" s="13">
        <f>SUMIF('Raw Data'!$C:$C,A4,'Raw Data'!$R:$R)</f>
        <v>0</v>
      </c>
      <c r="C4" s="13">
        <f>SUMIF('Raw Data'!$C:$C,A4,'Raw Data'!$Q:$Q)</f>
        <v>1220085</v>
      </c>
      <c r="D4" s="14">
        <f t="shared" ref="D4:D9" si="0">IFERROR(C4/B4,0)</f>
        <v>0</v>
      </c>
      <c r="E4" s="15">
        <v>0</v>
      </c>
      <c r="F4" s="13">
        <f t="shared" ref="F4:F9" si="1">B4*(1+E4)</f>
        <v>0</v>
      </c>
      <c r="G4" s="13">
        <f t="shared" ref="G4:G9" si="2">F4*D4</f>
        <v>0</v>
      </c>
      <c r="H4" s="16">
        <f t="shared" ref="H4:H9" si="3">IFERROR((G4-F4)/F4,0)</f>
        <v>0</v>
      </c>
    </row>
    <row r="5" spans="1:8" ht="18" customHeight="1" x14ac:dyDescent="0.2">
      <c r="A5" s="1" t="s">
        <v>18</v>
      </c>
      <c r="B5" s="13">
        <f>SUMIF('Raw Data'!$C:$C,A5,'Raw Data'!$R:$R)</f>
        <v>1063114</v>
      </c>
      <c r="C5" s="13">
        <f>SUMIF('Raw Data'!$C:$C,A5,'Raw Data'!$Q:$Q)</f>
        <v>2309514</v>
      </c>
      <c r="D5" s="14">
        <f t="shared" si="0"/>
        <v>2.1724048408731331</v>
      </c>
      <c r="E5" s="15">
        <v>0.1</v>
      </c>
      <c r="F5" s="13">
        <f t="shared" si="1"/>
        <v>1169425.4000000001</v>
      </c>
      <c r="G5" s="13">
        <f t="shared" si="2"/>
        <v>2540465.4000000004</v>
      </c>
      <c r="H5" s="16">
        <f t="shared" si="3"/>
        <v>1.1724048408731331</v>
      </c>
    </row>
    <row r="6" spans="1:8" ht="18" customHeight="1" x14ac:dyDescent="0.2">
      <c r="A6" s="1" t="s">
        <v>19</v>
      </c>
      <c r="B6" s="13">
        <f>SUMIF('Raw Data'!$C:$C,A6,'Raw Data'!$R:$R)</f>
        <v>800509</v>
      </c>
      <c r="C6" s="13">
        <f>SUMIF('Raw Data'!$C:$C,A6,'Raw Data'!$Q:$Q)</f>
        <v>1466490</v>
      </c>
      <c r="D6" s="14">
        <f t="shared" si="0"/>
        <v>1.8319469237697514</v>
      </c>
      <c r="E6" s="15">
        <v>-0.05</v>
      </c>
      <c r="F6" s="13">
        <f t="shared" si="1"/>
        <v>760483.54999999993</v>
      </c>
      <c r="G6" s="13">
        <f t="shared" si="2"/>
        <v>1393165.4999999998</v>
      </c>
      <c r="H6" s="16">
        <f t="shared" si="3"/>
        <v>0.83194692376975132</v>
      </c>
    </row>
    <row r="7" spans="1:8" ht="18" customHeight="1" x14ac:dyDescent="0.2">
      <c r="A7" s="1" t="s">
        <v>20</v>
      </c>
      <c r="B7" s="13">
        <f>SUMIF('Raw Data'!$C:$C,A7,'Raw Data'!$R:$R)</f>
        <v>594762</v>
      </c>
      <c r="C7" s="13">
        <f>SUMIF('Raw Data'!$C:$C,A7,'Raw Data'!$Q:$Q)</f>
        <v>1268313</v>
      </c>
      <c r="D7" s="14">
        <f t="shared" si="0"/>
        <v>2.1324714759853522</v>
      </c>
      <c r="E7" s="15">
        <v>0.1</v>
      </c>
      <c r="F7" s="13">
        <f t="shared" si="1"/>
        <v>654238.20000000007</v>
      </c>
      <c r="G7" s="13">
        <f t="shared" si="2"/>
        <v>1395144.3000000003</v>
      </c>
      <c r="H7" s="16">
        <f t="shared" si="3"/>
        <v>1.1324714759853522</v>
      </c>
    </row>
    <row r="8" spans="1:8" ht="18" customHeight="1" x14ac:dyDescent="0.2">
      <c r="A8" s="1" t="s">
        <v>21</v>
      </c>
      <c r="B8" s="13">
        <f>SUMIF('Raw Data'!$C:$C,A8,'Raw Data'!$R:$R)</f>
        <v>0</v>
      </c>
      <c r="C8" s="13">
        <f>SUMIF('Raw Data'!$C:$C,A8,'Raw Data'!$Q:$Q)</f>
        <v>1341614</v>
      </c>
      <c r="D8" s="14">
        <f t="shared" si="0"/>
        <v>0</v>
      </c>
      <c r="E8" s="15">
        <v>0</v>
      </c>
      <c r="F8" s="13">
        <f t="shared" si="1"/>
        <v>0</v>
      </c>
      <c r="G8" s="13">
        <f t="shared" si="2"/>
        <v>0</v>
      </c>
      <c r="H8" s="16">
        <f t="shared" si="3"/>
        <v>0</v>
      </c>
    </row>
    <row r="9" spans="1:8" ht="18" customHeight="1" x14ac:dyDescent="0.2">
      <c r="A9" s="1" t="s">
        <v>22</v>
      </c>
      <c r="B9" s="13">
        <f>SUMIF('Raw Data'!$C:$C,A9,'Raw Data'!$R:$R)</f>
        <v>0</v>
      </c>
      <c r="C9" s="13">
        <f>SUMIF('Raw Data'!$C:$C,A9,'Raw Data'!$Q:$Q)</f>
        <v>1029107</v>
      </c>
      <c r="D9" s="14">
        <f t="shared" si="0"/>
        <v>0</v>
      </c>
      <c r="E9" s="15">
        <v>0</v>
      </c>
      <c r="F9" s="13">
        <f t="shared" si="1"/>
        <v>0</v>
      </c>
      <c r="G9" s="13">
        <f t="shared" si="2"/>
        <v>0</v>
      </c>
      <c r="H9" s="16">
        <f t="shared" si="3"/>
        <v>0</v>
      </c>
    </row>
    <row r="10" spans="1:8" ht="18" customHeight="1" x14ac:dyDescent="0.2">
      <c r="A10" s="1"/>
      <c r="B10" s="1"/>
      <c r="C10" s="1"/>
      <c r="D10" s="1"/>
      <c r="E10" s="1"/>
      <c r="F10" s="1"/>
      <c r="G10" s="1"/>
      <c r="H10" s="1"/>
    </row>
    <row r="11" spans="1:8" ht="18" customHeight="1" x14ac:dyDescent="0.2">
      <c r="A11" s="1"/>
      <c r="B11" s="1"/>
      <c r="C11" s="1"/>
      <c r="D11" s="1"/>
      <c r="E11" s="1"/>
      <c r="F11" s="1"/>
      <c r="G11" s="1"/>
      <c r="H11" s="1"/>
    </row>
    <row r="12" spans="1:8" ht="18" customHeight="1" x14ac:dyDescent="0.2">
      <c r="A12" s="2" t="s">
        <v>31</v>
      </c>
      <c r="B12" s="1"/>
      <c r="C12" s="1"/>
      <c r="D12" s="1"/>
      <c r="E12" s="1"/>
      <c r="F12" s="1"/>
      <c r="G12" s="1"/>
      <c r="H12" s="1"/>
    </row>
    <row r="13" spans="1:8" ht="18" customHeight="1" x14ac:dyDescent="0.2">
      <c r="A13" s="1" t="s">
        <v>32</v>
      </c>
      <c r="B13" s="1"/>
      <c r="C13" s="1"/>
      <c r="D13" s="1"/>
      <c r="E13" s="1"/>
      <c r="F13" s="1"/>
      <c r="G13" s="1"/>
      <c r="H13" s="1"/>
    </row>
  </sheetData>
  <mergeCells count="1">
    <mergeCell ref="A1:H1"/>
  </mergeCells>
  <dataValidations count="1">
    <dataValidation type="decimal" sqref="E4:E9" xr:uid="{00000000-0002-0000-0100-000000000000}">
      <formula1>-0.5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>
      <selection activeCell="B13" sqref="B13"/>
    </sheetView>
  </sheetViews>
  <sheetFormatPr baseColWidth="10" defaultColWidth="8.83203125" defaultRowHeight="15" x14ac:dyDescent="0.2"/>
  <cols>
    <col min="1" max="1" width="37.6640625" customWidth="1"/>
    <col min="2" max="2" width="89" customWidth="1"/>
    <col min="3" max="3" width="32.83203125" customWidth="1"/>
  </cols>
  <sheetData>
    <row r="1" spans="1:3" ht="18" customHeight="1" x14ac:dyDescent="0.2">
      <c r="A1" s="12" t="s">
        <v>33</v>
      </c>
      <c r="B1" s="1"/>
      <c r="C1" s="1"/>
    </row>
    <row r="2" spans="1:3" ht="18" customHeight="1" x14ac:dyDescent="0.2">
      <c r="A2" s="1"/>
      <c r="B2" s="1"/>
      <c r="C2" s="1"/>
    </row>
    <row r="3" spans="1:3" ht="18" customHeight="1" x14ac:dyDescent="0.2">
      <c r="A3" s="2" t="s">
        <v>34</v>
      </c>
      <c r="B3" s="2" t="s">
        <v>35</v>
      </c>
      <c r="C3" s="2" t="s">
        <v>36</v>
      </c>
    </row>
    <row r="4" spans="1:3" ht="18" customHeight="1" x14ac:dyDescent="0.2">
      <c r="A4" s="1" t="s">
        <v>37</v>
      </c>
      <c r="B4" s="17">
        <f>SUMIF('Raw Data'!C:C,"Organic Search",'Raw Data'!Q:Q)</f>
        <v>1220085</v>
      </c>
      <c r="C4" s="1" t="s">
        <v>38</v>
      </c>
    </row>
    <row r="5" spans="1:3" ht="18" customHeight="1" x14ac:dyDescent="0.2">
      <c r="A5" s="1" t="s">
        <v>39</v>
      </c>
      <c r="B5" s="17">
        <f>SUMIF('Raw Data'!C:C,"Paid Search",'Raw Data'!Q:Q)</f>
        <v>2309514</v>
      </c>
      <c r="C5" s="1" t="s">
        <v>40</v>
      </c>
    </row>
    <row r="6" spans="1:3" ht="18" customHeight="1" x14ac:dyDescent="0.2">
      <c r="A6" s="1" t="s">
        <v>41</v>
      </c>
      <c r="B6" s="17">
        <f>SUMIF('Raw Data'!C:C,"Paid Search",'Raw Data'!R:R)</f>
        <v>1063114</v>
      </c>
      <c r="C6" s="1" t="s">
        <v>42</v>
      </c>
    </row>
    <row r="7" spans="1:3" ht="18" customHeight="1" x14ac:dyDescent="0.2">
      <c r="A7" s="1" t="s">
        <v>43</v>
      </c>
      <c r="B7" s="17">
        <f>IFERROR(B5/B6,0)</f>
        <v>2.1724048408731331</v>
      </c>
      <c r="C7" s="1" t="s">
        <v>44</v>
      </c>
    </row>
    <row r="8" spans="1:3" ht="18" customHeight="1" x14ac:dyDescent="0.2">
      <c r="A8" s="1" t="s">
        <v>45</v>
      </c>
      <c r="B8" s="17">
        <f>AVERAGEIF('Raw Data'!C:C,"Organic Search",'Raw Data'!Z:Z)</f>
        <v>17.473684210526315</v>
      </c>
      <c r="C8" s="1" t="s">
        <v>46</v>
      </c>
    </row>
    <row r="9" spans="1:3" ht="18" customHeight="1" x14ac:dyDescent="0.2">
      <c r="A9" s="1" t="s">
        <v>47</v>
      </c>
      <c r="B9" s="17">
        <f>AVERAGE('Raw Data'!AA:AA)</f>
        <v>79.924999999999997</v>
      </c>
      <c r="C9" s="1" t="s">
        <v>48</v>
      </c>
    </row>
    <row r="10" spans="1:3" ht="18" customHeight="1" x14ac:dyDescent="0.2">
      <c r="A10" s="1"/>
      <c r="B10" s="1"/>
      <c r="C10" s="1"/>
    </row>
    <row r="11" spans="1:3" ht="18" customHeight="1" x14ac:dyDescent="0.2">
      <c r="A11" s="1"/>
      <c r="B11" s="1"/>
      <c r="C11" s="1"/>
    </row>
    <row r="12" spans="1:3" ht="18" customHeight="1" x14ac:dyDescent="0.2">
      <c r="A12" s="1" t="s">
        <v>49</v>
      </c>
      <c r="B12" s="1" t="s">
        <v>50</v>
      </c>
      <c r="C12" s="1"/>
    </row>
    <row r="13" spans="1:3" ht="18" customHeight="1" x14ac:dyDescent="0.2">
      <c r="A13" s="1" t="s">
        <v>51</v>
      </c>
      <c r="B13" s="1" t="s">
        <v>52</v>
      </c>
      <c r="C1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workbookViewId="0">
      <selection activeCell="B8" sqref="B8"/>
    </sheetView>
  </sheetViews>
  <sheetFormatPr baseColWidth="10" defaultColWidth="8.83203125" defaultRowHeight="15" x14ac:dyDescent="0.2"/>
  <cols>
    <col min="1" max="1" width="16" customWidth="1"/>
    <col min="2" max="2" width="93.1640625" customWidth="1"/>
    <col min="3" max="7" width="16" customWidth="1"/>
  </cols>
  <sheetData>
    <row r="1" spans="1:7" ht="18" customHeight="1" x14ac:dyDescent="0.2">
      <c r="A1" s="12" t="s">
        <v>53</v>
      </c>
      <c r="B1" s="1"/>
      <c r="C1" s="1"/>
      <c r="D1" s="1"/>
      <c r="E1" s="1"/>
      <c r="F1" s="1"/>
      <c r="G1" s="1"/>
    </row>
    <row r="2" spans="1:7" ht="18" customHeight="1" x14ac:dyDescent="0.2">
      <c r="A2" s="1"/>
      <c r="B2" s="1"/>
      <c r="C2" s="1"/>
      <c r="D2" s="1"/>
      <c r="E2" s="1"/>
      <c r="F2" s="1"/>
      <c r="G2" s="1"/>
    </row>
    <row r="3" spans="1:7" ht="18" customHeight="1" x14ac:dyDescent="0.2">
      <c r="A3" s="2" t="s">
        <v>54</v>
      </c>
      <c r="B3" s="2" t="s">
        <v>14</v>
      </c>
      <c r="C3" s="2" t="s">
        <v>13</v>
      </c>
      <c r="D3" s="2" t="s">
        <v>5</v>
      </c>
      <c r="E3" s="2" t="s">
        <v>11</v>
      </c>
      <c r="F3" s="2" t="s">
        <v>55</v>
      </c>
      <c r="G3" s="2" t="s">
        <v>56</v>
      </c>
    </row>
    <row r="4" spans="1:7" ht="18" customHeight="1" x14ac:dyDescent="0.2">
      <c r="A4" s="1" t="s">
        <v>57</v>
      </c>
      <c r="B4" s="1">
        <f>SUMIF('Raw Data'!$H:$H,A4,'Raw Data'!$K:$K)</f>
        <v>738513</v>
      </c>
      <c r="C4" s="1">
        <f>SUMIF('Raw Data'!$H:$H,A4,'Raw Data'!$O:$O)</f>
        <v>41587</v>
      </c>
      <c r="D4" s="16">
        <f>IFERROR(C4/B4,0)</f>
        <v>5.6311804937760064E-2</v>
      </c>
      <c r="E4" s="13">
        <f>SUMIF('Raw Data'!$H:$H,A4,'Raw Data'!$Q:$Q)</f>
        <v>4242913</v>
      </c>
      <c r="F4" s="18">
        <f>IFERROR(E4/B4,0)</f>
        <v>5.7452109847761648</v>
      </c>
      <c r="G4" s="16">
        <f>IFERROR((D4-$D$4)/$D$4,0)</f>
        <v>0</v>
      </c>
    </row>
    <row r="5" spans="1:7" ht="18" customHeight="1" x14ac:dyDescent="0.2">
      <c r="A5" s="1" t="s">
        <v>58</v>
      </c>
      <c r="B5" s="1">
        <f>SUMIF('Raw Data'!$H:$H,A5,'Raw Data'!$K:$K)</f>
        <v>748408</v>
      </c>
      <c r="C5" s="1">
        <f>SUMIF('Raw Data'!$H:$H,A5,'Raw Data'!$O:$O)</f>
        <v>38922</v>
      </c>
      <c r="D5" s="16">
        <f>IFERROR(C5/B5,0)</f>
        <v>5.2006392235251359E-2</v>
      </c>
      <c r="E5" s="13">
        <f>SUMIF('Raw Data'!$H:$H,A5,'Raw Data'!$Q:$Q)</f>
        <v>4392210</v>
      </c>
      <c r="F5" s="18">
        <f>IFERROR(E5/B5,0)</f>
        <v>5.868737373197507</v>
      </c>
      <c r="G5" s="16">
        <f>IFERROR((D5-$D$4)/$D$4,0)</f>
        <v>-7.6456663168004702E-2</v>
      </c>
    </row>
    <row r="6" spans="1:7" ht="18" customHeight="1" x14ac:dyDescent="0.2">
      <c r="A6" s="1"/>
      <c r="B6" s="1"/>
      <c r="C6" s="1"/>
      <c r="D6" s="1"/>
      <c r="E6" s="1"/>
      <c r="F6" s="1"/>
      <c r="G6" s="1"/>
    </row>
    <row r="7" spans="1:7" ht="18" customHeight="1" x14ac:dyDescent="0.2">
      <c r="A7" s="1"/>
      <c r="B7" s="1"/>
      <c r="C7" s="1"/>
      <c r="D7" s="1"/>
      <c r="E7" s="1"/>
      <c r="F7" s="1"/>
      <c r="G7" s="1"/>
    </row>
    <row r="8" spans="1:7" ht="18" customHeight="1" x14ac:dyDescent="0.2">
      <c r="A8" s="1" t="s">
        <v>59</v>
      </c>
      <c r="B8" s="1" t="s">
        <v>60</v>
      </c>
      <c r="C8" s="1"/>
      <c r="D8" s="1"/>
      <c r="E8" s="1"/>
      <c r="F8" s="1"/>
      <c r="G8" s="1"/>
    </row>
    <row r="9" spans="1:7" ht="18" customHeight="1" x14ac:dyDescent="0.2">
      <c r="A9" s="1" t="s">
        <v>61</v>
      </c>
      <c r="B9" s="1" t="str">
        <f>IF(G5&gt;0,"Scale Variant B to more traffic","Keep Control and retest")</f>
        <v>Keep Control and retest</v>
      </c>
      <c r="C9" s="1"/>
      <c r="D9" s="1"/>
      <c r="E9" s="1"/>
      <c r="F9" s="1"/>
      <c r="G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0" width="16" customWidth="1"/>
    <col min="21" max="21" width="19" customWidth="1"/>
    <col min="22" max="24" width="14" customWidth="1"/>
    <col min="25" max="25" width="18" customWidth="1"/>
    <col min="26" max="26" width="20" customWidth="1"/>
    <col min="27" max="27" width="22" customWidth="1"/>
    <col min="28" max="28" width="25" customWidth="1"/>
  </cols>
  <sheetData>
    <row r="1" spans="1:28" ht="18" customHeight="1" x14ac:dyDescent="0.2">
      <c r="A1" s="2" t="s">
        <v>62</v>
      </c>
      <c r="B1" s="2" t="s">
        <v>63</v>
      </c>
      <c r="C1" s="2" t="s">
        <v>10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14</v>
      </c>
      <c r="L1" s="2" t="s">
        <v>71</v>
      </c>
      <c r="M1" s="2" t="s">
        <v>72</v>
      </c>
      <c r="N1" s="2" t="s">
        <v>73</v>
      </c>
      <c r="O1" s="2" t="s">
        <v>13</v>
      </c>
      <c r="P1" s="2" t="s">
        <v>74</v>
      </c>
      <c r="Q1" s="2" t="s">
        <v>11</v>
      </c>
      <c r="R1" s="2" t="s">
        <v>12</v>
      </c>
      <c r="S1" s="2" t="s">
        <v>75</v>
      </c>
      <c r="T1" s="2" t="s">
        <v>76</v>
      </c>
      <c r="U1" s="2" t="s">
        <v>77</v>
      </c>
      <c r="V1" s="2" t="s">
        <v>15</v>
      </c>
      <c r="W1" s="2" t="s">
        <v>78</v>
      </c>
      <c r="X1" s="2" t="s">
        <v>6</v>
      </c>
      <c r="Y1" s="2" t="s">
        <v>79</v>
      </c>
      <c r="Z1" s="2" t="s">
        <v>80</v>
      </c>
      <c r="AA1" s="2" t="s">
        <v>81</v>
      </c>
      <c r="AB1" s="2" t="s">
        <v>82</v>
      </c>
    </row>
    <row r="2" spans="1:28" ht="18" customHeight="1" x14ac:dyDescent="0.2">
      <c r="A2" s="19" t="s">
        <v>83</v>
      </c>
      <c r="B2" s="19" t="s">
        <v>84</v>
      </c>
      <c r="C2" s="19" t="s">
        <v>18</v>
      </c>
      <c r="D2" s="19" t="s">
        <v>85</v>
      </c>
      <c r="E2" s="19" t="s">
        <v>86</v>
      </c>
      <c r="F2" s="19" t="s">
        <v>87</v>
      </c>
      <c r="G2" s="19" t="s">
        <v>88</v>
      </c>
      <c r="H2" s="19" t="s">
        <v>57</v>
      </c>
      <c r="I2" s="19">
        <v>114625</v>
      </c>
      <c r="J2" s="19">
        <v>6191</v>
      </c>
      <c r="K2" s="19">
        <v>6310</v>
      </c>
      <c r="L2" s="19">
        <v>1036</v>
      </c>
      <c r="M2" s="19">
        <v>2029</v>
      </c>
      <c r="N2" s="19">
        <v>800</v>
      </c>
      <c r="O2" s="19">
        <v>341</v>
      </c>
      <c r="P2" s="19">
        <v>341</v>
      </c>
      <c r="Q2" s="20">
        <v>54219</v>
      </c>
      <c r="R2" s="20">
        <v>28032</v>
      </c>
      <c r="S2" s="19">
        <v>159</v>
      </c>
      <c r="T2" s="21">
        <v>5.3999999999999999E-2</v>
      </c>
      <c r="U2" s="21">
        <v>5.3999999999999999E-2</v>
      </c>
      <c r="V2" s="20">
        <v>82.21</v>
      </c>
      <c r="W2" s="20">
        <v>4.53</v>
      </c>
      <c r="X2" s="22">
        <v>1.93</v>
      </c>
      <c r="Y2" s="21">
        <v>0.62409999999999999</v>
      </c>
      <c r="Z2" s="19"/>
      <c r="AA2" s="19">
        <v>68</v>
      </c>
      <c r="AB2" s="23">
        <v>4.7</v>
      </c>
    </row>
    <row r="3" spans="1:28" ht="18" customHeight="1" x14ac:dyDescent="0.2">
      <c r="A3" s="19" t="s">
        <v>89</v>
      </c>
      <c r="B3" s="19" t="s">
        <v>84</v>
      </c>
      <c r="C3" s="19" t="s">
        <v>17</v>
      </c>
      <c r="D3" s="19" t="s">
        <v>90</v>
      </c>
      <c r="E3" s="19" t="s">
        <v>91</v>
      </c>
      <c r="F3" s="19" t="s">
        <v>92</v>
      </c>
      <c r="G3" s="19" t="s">
        <v>93</v>
      </c>
      <c r="H3" s="19" t="s">
        <v>58</v>
      </c>
      <c r="I3" s="19">
        <v>106672</v>
      </c>
      <c r="J3" s="19">
        <v>3516</v>
      </c>
      <c r="K3" s="19">
        <v>2869</v>
      </c>
      <c r="L3" s="19">
        <v>354</v>
      </c>
      <c r="M3" s="19">
        <v>427</v>
      </c>
      <c r="N3" s="19">
        <v>277</v>
      </c>
      <c r="O3" s="19">
        <v>132</v>
      </c>
      <c r="P3" s="19">
        <v>132</v>
      </c>
      <c r="Q3" s="20">
        <v>12936</v>
      </c>
      <c r="R3" s="20">
        <v>0</v>
      </c>
      <c r="S3" s="19">
        <v>98</v>
      </c>
      <c r="T3" s="21">
        <v>3.3000000000000002E-2</v>
      </c>
      <c r="U3" s="21">
        <v>4.5999999999999999E-2</v>
      </c>
      <c r="V3" s="20">
        <v>0</v>
      </c>
      <c r="W3" s="20">
        <v>0</v>
      </c>
      <c r="X3" s="22">
        <v>0</v>
      </c>
      <c r="Y3" s="21">
        <v>0.35410000000000003</v>
      </c>
      <c r="Z3" s="19">
        <v>10</v>
      </c>
      <c r="AA3" s="19">
        <v>98</v>
      </c>
      <c r="AB3" s="23">
        <v>4.3</v>
      </c>
    </row>
    <row r="4" spans="1:28" ht="18" customHeight="1" x14ac:dyDescent="0.2">
      <c r="A4" s="19" t="s">
        <v>94</v>
      </c>
      <c r="B4" s="19" t="s">
        <v>84</v>
      </c>
      <c r="C4" s="19" t="s">
        <v>21</v>
      </c>
      <c r="D4" s="19" t="s">
        <v>90</v>
      </c>
      <c r="E4" s="19" t="s">
        <v>95</v>
      </c>
      <c r="F4" s="19" t="s">
        <v>96</v>
      </c>
      <c r="G4" s="19" t="s">
        <v>97</v>
      </c>
      <c r="H4" s="19" t="s">
        <v>57</v>
      </c>
      <c r="I4" s="19">
        <v>90066</v>
      </c>
      <c r="J4" s="19">
        <v>6793</v>
      </c>
      <c r="K4" s="19">
        <v>6578</v>
      </c>
      <c r="L4" s="19">
        <v>930</v>
      </c>
      <c r="M4" s="19">
        <v>1119</v>
      </c>
      <c r="N4" s="19">
        <v>625</v>
      </c>
      <c r="O4" s="19">
        <v>511</v>
      </c>
      <c r="P4" s="19">
        <v>511</v>
      </c>
      <c r="Q4" s="20">
        <v>24017</v>
      </c>
      <c r="R4" s="20">
        <v>0</v>
      </c>
      <c r="S4" s="19">
        <v>47</v>
      </c>
      <c r="T4" s="21">
        <v>7.5399999999999995E-2</v>
      </c>
      <c r="U4" s="21">
        <v>7.7700000000000005E-2</v>
      </c>
      <c r="V4" s="20">
        <v>0</v>
      </c>
      <c r="W4" s="20">
        <v>0</v>
      </c>
      <c r="X4" s="22">
        <v>0</v>
      </c>
      <c r="Y4" s="21">
        <v>0.5857</v>
      </c>
      <c r="Z4" s="19"/>
      <c r="AA4" s="19">
        <v>92</v>
      </c>
      <c r="AB4" s="23">
        <v>4.5999999999999996</v>
      </c>
    </row>
    <row r="5" spans="1:28" ht="18" customHeight="1" x14ac:dyDescent="0.2">
      <c r="A5" s="19" t="s">
        <v>98</v>
      </c>
      <c r="B5" s="19" t="s">
        <v>84</v>
      </c>
      <c r="C5" s="19" t="s">
        <v>21</v>
      </c>
      <c r="D5" s="19" t="s">
        <v>85</v>
      </c>
      <c r="E5" s="19" t="s">
        <v>91</v>
      </c>
      <c r="F5" s="19" t="s">
        <v>99</v>
      </c>
      <c r="G5" s="19" t="s">
        <v>100</v>
      </c>
      <c r="H5" s="19" t="s">
        <v>57</v>
      </c>
      <c r="I5" s="19">
        <v>262023</v>
      </c>
      <c r="J5" s="19">
        <v>9265</v>
      </c>
      <c r="K5" s="19">
        <v>7297</v>
      </c>
      <c r="L5" s="19">
        <v>1596</v>
      </c>
      <c r="M5" s="19">
        <v>1083</v>
      </c>
      <c r="N5" s="19">
        <v>713</v>
      </c>
      <c r="O5" s="19">
        <v>536</v>
      </c>
      <c r="P5" s="19">
        <v>536</v>
      </c>
      <c r="Q5" s="20">
        <v>36984</v>
      </c>
      <c r="R5" s="20">
        <v>0</v>
      </c>
      <c r="S5" s="19">
        <v>69</v>
      </c>
      <c r="T5" s="21">
        <v>3.5400000000000001E-2</v>
      </c>
      <c r="U5" s="21">
        <v>7.3499999999999996E-2</v>
      </c>
      <c r="V5" s="20">
        <v>0</v>
      </c>
      <c r="W5" s="20">
        <v>0</v>
      </c>
      <c r="X5" s="22">
        <v>0</v>
      </c>
      <c r="Y5" s="21">
        <v>0.4733</v>
      </c>
      <c r="Z5" s="19"/>
      <c r="AA5" s="19">
        <v>78</v>
      </c>
      <c r="AB5" s="23">
        <v>4.4000000000000004</v>
      </c>
    </row>
    <row r="6" spans="1:28" ht="18" customHeight="1" x14ac:dyDescent="0.2">
      <c r="A6" s="19" t="s">
        <v>101</v>
      </c>
      <c r="B6" s="19" t="s">
        <v>84</v>
      </c>
      <c r="C6" s="19" t="s">
        <v>17</v>
      </c>
      <c r="D6" s="19" t="s">
        <v>102</v>
      </c>
      <c r="E6" s="19" t="s">
        <v>95</v>
      </c>
      <c r="F6" s="19" t="s">
        <v>103</v>
      </c>
      <c r="G6" s="19" t="s">
        <v>88</v>
      </c>
      <c r="H6" s="19" t="s">
        <v>58</v>
      </c>
      <c r="I6" s="19">
        <v>49446</v>
      </c>
      <c r="J6" s="19">
        <v>3493</v>
      </c>
      <c r="K6" s="19">
        <v>3322</v>
      </c>
      <c r="L6" s="19">
        <v>645</v>
      </c>
      <c r="M6" s="19">
        <v>721</v>
      </c>
      <c r="N6" s="19">
        <v>371</v>
      </c>
      <c r="O6" s="19">
        <v>105</v>
      </c>
      <c r="P6" s="19">
        <v>105</v>
      </c>
      <c r="Q6" s="20">
        <v>18060</v>
      </c>
      <c r="R6" s="20">
        <v>0</v>
      </c>
      <c r="S6" s="19">
        <v>172</v>
      </c>
      <c r="T6" s="21">
        <v>7.0599999999999996E-2</v>
      </c>
      <c r="U6" s="21">
        <v>3.1600000000000003E-2</v>
      </c>
      <c r="V6" s="20">
        <v>0</v>
      </c>
      <c r="W6" s="20">
        <v>0</v>
      </c>
      <c r="X6" s="22">
        <v>0</v>
      </c>
      <c r="Y6" s="21">
        <v>0.48249999999999998</v>
      </c>
      <c r="Z6" s="19">
        <v>4</v>
      </c>
      <c r="AA6" s="19">
        <v>65</v>
      </c>
      <c r="AB6" s="23">
        <v>4.8</v>
      </c>
    </row>
    <row r="7" spans="1:28" ht="18" customHeight="1" x14ac:dyDescent="0.2">
      <c r="A7" s="19" t="s">
        <v>104</v>
      </c>
      <c r="B7" s="19" t="s">
        <v>84</v>
      </c>
      <c r="C7" s="19" t="s">
        <v>19</v>
      </c>
      <c r="D7" s="19" t="s">
        <v>85</v>
      </c>
      <c r="E7" s="19" t="s">
        <v>91</v>
      </c>
      <c r="F7" s="19" t="s">
        <v>105</v>
      </c>
      <c r="G7" s="19" t="s">
        <v>100</v>
      </c>
      <c r="H7" s="19" t="s">
        <v>58</v>
      </c>
      <c r="I7" s="19">
        <v>236815</v>
      </c>
      <c r="J7" s="19">
        <v>18949</v>
      </c>
      <c r="K7" s="19">
        <v>18399</v>
      </c>
      <c r="L7" s="19">
        <v>3284</v>
      </c>
      <c r="M7" s="19">
        <v>4282</v>
      </c>
      <c r="N7" s="19">
        <v>2938</v>
      </c>
      <c r="O7" s="19">
        <v>946</v>
      </c>
      <c r="P7" s="19">
        <v>946</v>
      </c>
      <c r="Q7" s="20">
        <v>78518</v>
      </c>
      <c r="R7" s="20">
        <v>21336</v>
      </c>
      <c r="S7" s="19">
        <v>83</v>
      </c>
      <c r="T7" s="21">
        <v>0.08</v>
      </c>
      <c r="U7" s="21">
        <v>5.1400000000000001E-2</v>
      </c>
      <c r="V7" s="20">
        <v>22.55</v>
      </c>
      <c r="W7" s="20">
        <v>1.1299999999999999</v>
      </c>
      <c r="X7" s="22">
        <v>3.68</v>
      </c>
      <c r="Y7" s="21">
        <v>0.42449999999999999</v>
      </c>
      <c r="Z7" s="19"/>
      <c r="AA7" s="19">
        <v>95</v>
      </c>
      <c r="AB7" s="23">
        <v>4.4000000000000004</v>
      </c>
    </row>
    <row r="8" spans="1:28" ht="18" customHeight="1" x14ac:dyDescent="0.2">
      <c r="A8" s="19" t="s">
        <v>106</v>
      </c>
      <c r="B8" s="19" t="s">
        <v>84</v>
      </c>
      <c r="C8" s="19" t="s">
        <v>18</v>
      </c>
      <c r="D8" s="19" t="s">
        <v>102</v>
      </c>
      <c r="E8" s="19" t="s">
        <v>107</v>
      </c>
      <c r="F8" s="19" t="s">
        <v>108</v>
      </c>
      <c r="G8" s="19" t="s">
        <v>97</v>
      </c>
      <c r="H8" s="19" t="s">
        <v>57</v>
      </c>
      <c r="I8" s="19">
        <v>39171</v>
      </c>
      <c r="J8" s="19">
        <v>3103</v>
      </c>
      <c r="K8" s="19">
        <v>2532</v>
      </c>
      <c r="L8" s="19">
        <v>233</v>
      </c>
      <c r="M8" s="19">
        <v>882</v>
      </c>
      <c r="N8" s="19">
        <v>332</v>
      </c>
      <c r="O8" s="19">
        <v>78</v>
      </c>
      <c r="P8" s="19">
        <v>78</v>
      </c>
      <c r="Q8" s="20">
        <v>12324</v>
      </c>
      <c r="R8" s="20">
        <v>13505</v>
      </c>
      <c r="S8" s="19">
        <v>158</v>
      </c>
      <c r="T8" s="21">
        <v>7.9200000000000007E-2</v>
      </c>
      <c r="U8" s="21">
        <v>3.0800000000000001E-2</v>
      </c>
      <c r="V8" s="20">
        <v>173.14</v>
      </c>
      <c r="W8" s="20">
        <v>4.3499999999999996</v>
      </c>
      <c r="X8" s="22">
        <v>0.91</v>
      </c>
      <c r="Y8" s="21">
        <v>0.55249999999999999</v>
      </c>
      <c r="Z8" s="19"/>
      <c r="AA8" s="19">
        <v>70</v>
      </c>
      <c r="AB8" s="23">
        <v>4.4000000000000004</v>
      </c>
    </row>
    <row r="9" spans="1:28" ht="18" customHeight="1" x14ac:dyDescent="0.2">
      <c r="A9" s="19" t="s">
        <v>109</v>
      </c>
      <c r="B9" s="19" t="s">
        <v>84</v>
      </c>
      <c r="C9" s="19" t="s">
        <v>17</v>
      </c>
      <c r="D9" s="19" t="s">
        <v>90</v>
      </c>
      <c r="E9" s="19" t="s">
        <v>107</v>
      </c>
      <c r="F9" s="19" t="s">
        <v>110</v>
      </c>
      <c r="G9" s="19" t="s">
        <v>97</v>
      </c>
      <c r="H9" s="19" t="s">
        <v>57</v>
      </c>
      <c r="I9" s="19">
        <v>139305</v>
      </c>
      <c r="J9" s="19">
        <v>8406</v>
      </c>
      <c r="K9" s="19">
        <v>7361</v>
      </c>
      <c r="L9" s="19">
        <v>631</v>
      </c>
      <c r="M9" s="19">
        <v>1220</v>
      </c>
      <c r="N9" s="19">
        <v>584</v>
      </c>
      <c r="O9" s="19">
        <v>444</v>
      </c>
      <c r="P9" s="19">
        <v>444</v>
      </c>
      <c r="Q9" s="20">
        <v>62604</v>
      </c>
      <c r="R9" s="20">
        <v>0</v>
      </c>
      <c r="S9" s="19">
        <v>141</v>
      </c>
      <c r="T9" s="21">
        <v>6.0299999999999999E-2</v>
      </c>
      <c r="U9" s="21">
        <v>6.0299999999999999E-2</v>
      </c>
      <c r="V9" s="20">
        <v>0</v>
      </c>
      <c r="W9" s="20">
        <v>0</v>
      </c>
      <c r="X9" s="22">
        <v>0</v>
      </c>
      <c r="Y9" s="21">
        <v>0.55249999999999999</v>
      </c>
      <c r="Z9" s="19">
        <v>18</v>
      </c>
      <c r="AA9" s="19">
        <v>65</v>
      </c>
      <c r="AB9" s="23">
        <v>4.7</v>
      </c>
    </row>
    <row r="10" spans="1:28" ht="18" customHeight="1" x14ac:dyDescent="0.2">
      <c r="A10" s="19" t="s">
        <v>111</v>
      </c>
      <c r="B10" s="19" t="s">
        <v>84</v>
      </c>
      <c r="C10" s="19" t="s">
        <v>22</v>
      </c>
      <c r="D10" s="19" t="s">
        <v>85</v>
      </c>
      <c r="E10" s="19" t="s">
        <v>86</v>
      </c>
      <c r="F10" s="19" t="s">
        <v>112</v>
      </c>
      <c r="G10" s="19" t="s">
        <v>88</v>
      </c>
      <c r="H10" s="19" t="s">
        <v>57</v>
      </c>
      <c r="I10" s="19">
        <v>83703</v>
      </c>
      <c r="J10" s="19">
        <v>1395</v>
      </c>
      <c r="K10" s="19">
        <v>1034</v>
      </c>
      <c r="L10" s="19">
        <v>101</v>
      </c>
      <c r="M10" s="19">
        <v>330</v>
      </c>
      <c r="N10" s="19">
        <v>212</v>
      </c>
      <c r="O10" s="19">
        <v>48</v>
      </c>
      <c r="P10" s="19">
        <v>48</v>
      </c>
      <c r="Q10" s="20">
        <v>2496</v>
      </c>
      <c r="R10" s="20">
        <v>0</v>
      </c>
      <c r="S10" s="19">
        <v>52</v>
      </c>
      <c r="T10" s="21">
        <v>1.67E-2</v>
      </c>
      <c r="U10" s="21">
        <v>4.6399999999999997E-2</v>
      </c>
      <c r="V10" s="20">
        <v>0</v>
      </c>
      <c r="W10" s="20">
        <v>0</v>
      </c>
      <c r="X10" s="22">
        <v>0</v>
      </c>
      <c r="Y10" s="21">
        <v>0.6341</v>
      </c>
      <c r="Z10" s="19"/>
      <c r="AA10" s="19">
        <v>93</v>
      </c>
      <c r="AB10" s="23">
        <v>4</v>
      </c>
    </row>
    <row r="11" spans="1:28" ht="18" customHeight="1" x14ac:dyDescent="0.2">
      <c r="A11" s="19" t="s">
        <v>113</v>
      </c>
      <c r="B11" s="19" t="s">
        <v>84</v>
      </c>
      <c r="C11" s="19" t="s">
        <v>19</v>
      </c>
      <c r="D11" s="19" t="s">
        <v>85</v>
      </c>
      <c r="E11" s="19" t="s">
        <v>114</v>
      </c>
      <c r="F11" s="19" t="s">
        <v>105</v>
      </c>
      <c r="G11" s="19" t="s">
        <v>100</v>
      </c>
      <c r="H11" s="19" t="s">
        <v>57</v>
      </c>
      <c r="I11" s="19">
        <v>251281</v>
      </c>
      <c r="J11" s="19">
        <v>15827</v>
      </c>
      <c r="K11" s="19">
        <v>15907</v>
      </c>
      <c r="L11" s="19">
        <v>1827</v>
      </c>
      <c r="M11" s="19">
        <v>5197</v>
      </c>
      <c r="N11" s="19">
        <v>2562</v>
      </c>
      <c r="O11" s="19">
        <v>1048</v>
      </c>
      <c r="P11" s="19">
        <v>1048</v>
      </c>
      <c r="Q11" s="20">
        <v>101656</v>
      </c>
      <c r="R11" s="20">
        <v>32366</v>
      </c>
      <c r="S11" s="19">
        <v>97</v>
      </c>
      <c r="T11" s="21">
        <v>6.3E-2</v>
      </c>
      <c r="U11" s="21">
        <v>6.59E-2</v>
      </c>
      <c r="V11" s="20">
        <v>30.88</v>
      </c>
      <c r="W11" s="20">
        <v>2.04</v>
      </c>
      <c r="X11" s="22">
        <v>3.14</v>
      </c>
      <c r="Y11" s="21">
        <v>0.37080000000000002</v>
      </c>
      <c r="Z11" s="19"/>
      <c r="AA11" s="19">
        <v>78</v>
      </c>
      <c r="AB11" s="23">
        <v>4.2</v>
      </c>
    </row>
    <row r="12" spans="1:28" ht="18" customHeight="1" x14ac:dyDescent="0.2">
      <c r="A12" s="19" t="s">
        <v>115</v>
      </c>
      <c r="B12" s="19" t="s">
        <v>84</v>
      </c>
      <c r="C12" s="19" t="s">
        <v>19</v>
      </c>
      <c r="D12" s="19" t="s">
        <v>85</v>
      </c>
      <c r="E12" s="19" t="s">
        <v>116</v>
      </c>
      <c r="F12" s="19" t="s">
        <v>117</v>
      </c>
      <c r="G12" s="19" t="s">
        <v>118</v>
      </c>
      <c r="H12" s="19" t="s">
        <v>58</v>
      </c>
      <c r="I12" s="19">
        <v>55077</v>
      </c>
      <c r="J12" s="19">
        <v>748</v>
      </c>
      <c r="K12" s="19">
        <v>604</v>
      </c>
      <c r="L12" s="19">
        <v>81</v>
      </c>
      <c r="M12" s="19">
        <v>134</v>
      </c>
      <c r="N12" s="19">
        <v>64</v>
      </c>
      <c r="O12" s="19">
        <v>18</v>
      </c>
      <c r="P12" s="19">
        <v>18</v>
      </c>
      <c r="Q12" s="20">
        <v>2664</v>
      </c>
      <c r="R12" s="20">
        <v>35377</v>
      </c>
      <c r="S12" s="19">
        <v>148</v>
      </c>
      <c r="T12" s="21">
        <v>1.3599999999999999E-2</v>
      </c>
      <c r="U12" s="21">
        <v>2.98E-2</v>
      </c>
      <c r="V12" s="20">
        <v>1965.39</v>
      </c>
      <c r="W12" s="20">
        <v>47.3</v>
      </c>
      <c r="X12" s="22">
        <v>0.08</v>
      </c>
      <c r="Y12" s="21">
        <v>0.38629999999999998</v>
      </c>
      <c r="Z12" s="19"/>
      <c r="AA12" s="19">
        <v>90</v>
      </c>
      <c r="AB12" s="23">
        <v>4.5999999999999996</v>
      </c>
    </row>
    <row r="13" spans="1:28" ht="18" customHeight="1" x14ac:dyDescent="0.2">
      <c r="A13" s="19" t="s">
        <v>119</v>
      </c>
      <c r="B13" s="19" t="s">
        <v>84</v>
      </c>
      <c r="C13" s="19" t="s">
        <v>22</v>
      </c>
      <c r="D13" s="19" t="s">
        <v>85</v>
      </c>
      <c r="E13" s="19" t="s">
        <v>86</v>
      </c>
      <c r="F13" s="19" t="s">
        <v>120</v>
      </c>
      <c r="G13" s="19" t="s">
        <v>121</v>
      </c>
      <c r="H13" s="19" t="s">
        <v>58</v>
      </c>
      <c r="I13" s="19">
        <v>217604</v>
      </c>
      <c r="J13" s="19">
        <v>3341</v>
      </c>
      <c r="K13" s="19">
        <v>3155</v>
      </c>
      <c r="L13" s="19">
        <v>380</v>
      </c>
      <c r="M13" s="19">
        <v>892</v>
      </c>
      <c r="N13" s="19">
        <v>442</v>
      </c>
      <c r="O13" s="19">
        <v>159</v>
      </c>
      <c r="P13" s="19">
        <v>159</v>
      </c>
      <c r="Q13" s="20">
        <v>18126</v>
      </c>
      <c r="R13" s="20">
        <v>0</v>
      </c>
      <c r="S13" s="19">
        <v>114</v>
      </c>
      <c r="T13" s="21">
        <v>1.54E-2</v>
      </c>
      <c r="U13" s="21">
        <v>5.04E-2</v>
      </c>
      <c r="V13" s="20">
        <v>0</v>
      </c>
      <c r="W13" s="20">
        <v>0</v>
      </c>
      <c r="X13" s="22">
        <v>0</v>
      </c>
      <c r="Y13" s="21">
        <v>0.26679999999999998</v>
      </c>
      <c r="Z13" s="19"/>
      <c r="AA13" s="19">
        <v>66</v>
      </c>
      <c r="AB13" s="23">
        <v>4.7</v>
      </c>
    </row>
    <row r="14" spans="1:28" ht="18" customHeight="1" x14ac:dyDescent="0.2">
      <c r="A14" s="19" t="s">
        <v>122</v>
      </c>
      <c r="B14" s="19" t="s">
        <v>84</v>
      </c>
      <c r="C14" s="19" t="s">
        <v>21</v>
      </c>
      <c r="D14" s="19" t="s">
        <v>85</v>
      </c>
      <c r="E14" s="19" t="s">
        <v>107</v>
      </c>
      <c r="F14" s="19" t="s">
        <v>123</v>
      </c>
      <c r="G14" s="19" t="s">
        <v>93</v>
      </c>
      <c r="H14" s="19" t="s">
        <v>57</v>
      </c>
      <c r="I14" s="19">
        <v>52488</v>
      </c>
      <c r="J14" s="19">
        <v>1332</v>
      </c>
      <c r="K14" s="19">
        <v>1173</v>
      </c>
      <c r="L14" s="19">
        <v>113</v>
      </c>
      <c r="M14" s="19">
        <v>357</v>
      </c>
      <c r="N14" s="19">
        <v>190</v>
      </c>
      <c r="O14" s="19">
        <v>93</v>
      </c>
      <c r="P14" s="19">
        <v>93</v>
      </c>
      <c r="Q14" s="20">
        <v>10881</v>
      </c>
      <c r="R14" s="20">
        <v>0</v>
      </c>
      <c r="S14" s="19">
        <v>117</v>
      </c>
      <c r="T14" s="21">
        <v>2.5399999999999999E-2</v>
      </c>
      <c r="U14" s="21">
        <v>7.9299999999999995E-2</v>
      </c>
      <c r="V14" s="20">
        <v>0</v>
      </c>
      <c r="W14" s="20">
        <v>0</v>
      </c>
      <c r="X14" s="22">
        <v>0</v>
      </c>
      <c r="Y14" s="21">
        <v>0.42159999999999997</v>
      </c>
      <c r="Z14" s="19"/>
      <c r="AA14" s="19">
        <v>82</v>
      </c>
      <c r="AB14" s="23">
        <v>4.8</v>
      </c>
    </row>
    <row r="15" spans="1:28" ht="18" customHeight="1" x14ac:dyDescent="0.2">
      <c r="A15" s="19" t="s">
        <v>124</v>
      </c>
      <c r="B15" s="19" t="s">
        <v>84</v>
      </c>
      <c r="C15" s="19" t="s">
        <v>22</v>
      </c>
      <c r="D15" s="19" t="s">
        <v>85</v>
      </c>
      <c r="E15" s="19" t="s">
        <v>86</v>
      </c>
      <c r="F15" s="19" t="s">
        <v>120</v>
      </c>
      <c r="G15" s="19" t="s">
        <v>118</v>
      </c>
      <c r="H15" s="19" t="s">
        <v>58</v>
      </c>
      <c r="I15" s="19">
        <v>183037</v>
      </c>
      <c r="J15" s="19">
        <v>6980</v>
      </c>
      <c r="K15" s="19">
        <v>5548</v>
      </c>
      <c r="L15" s="19">
        <v>451</v>
      </c>
      <c r="M15" s="19">
        <v>1639</v>
      </c>
      <c r="N15" s="19">
        <v>990</v>
      </c>
      <c r="O15" s="19">
        <v>184</v>
      </c>
      <c r="P15" s="19">
        <v>184</v>
      </c>
      <c r="Q15" s="20">
        <v>29992</v>
      </c>
      <c r="R15" s="20">
        <v>0</v>
      </c>
      <c r="S15" s="19">
        <v>163</v>
      </c>
      <c r="T15" s="21">
        <v>3.8100000000000002E-2</v>
      </c>
      <c r="U15" s="21">
        <v>3.32E-2</v>
      </c>
      <c r="V15" s="20">
        <v>0</v>
      </c>
      <c r="W15" s="20">
        <v>0</v>
      </c>
      <c r="X15" s="22">
        <v>0</v>
      </c>
      <c r="Y15" s="21">
        <v>0.29920000000000002</v>
      </c>
      <c r="Z15" s="19"/>
      <c r="AA15" s="19">
        <v>98</v>
      </c>
      <c r="AB15" s="23">
        <v>4</v>
      </c>
    </row>
    <row r="16" spans="1:28" ht="18" customHeight="1" x14ac:dyDescent="0.2">
      <c r="A16" s="19" t="s">
        <v>125</v>
      </c>
      <c r="B16" s="19" t="s">
        <v>84</v>
      </c>
      <c r="C16" s="19" t="s">
        <v>21</v>
      </c>
      <c r="D16" s="19" t="s">
        <v>90</v>
      </c>
      <c r="E16" s="19" t="s">
        <v>107</v>
      </c>
      <c r="F16" s="19" t="s">
        <v>99</v>
      </c>
      <c r="G16" s="19" t="s">
        <v>100</v>
      </c>
      <c r="H16" s="19" t="s">
        <v>57</v>
      </c>
      <c r="I16" s="19">
        <v>220296</v>
      </c>
      <c r="J16" s="19">
        <v>12790</v>
      </c>
      <c r="K16" s="19">
        <v>12285</v>
      </c>
      <c r="L16" s="19">
        <v>2252</v>
      </c>
      <c r="M16" s="19">
        <v>3387</v>
      </c>
      <c r="N16" s="19">
        <v>1297</v>
      </c>
      <c r="O16" s="19">
        <v>1046</v>
      </c>
      <c r="P16" s="19">
        <v>1046</v>
      </c>
      <c r="Q16" s="20">
        <v>74266</v>
      </c>
      <c r="R16" s="20">
        <v>0</v>
      </c>
      <c r="S16" s="19">
        <v>71</v>
      </c>
      <c r="T16" s="21">
        <v>5.8099999999999999E-2</v>
      </c>
      <c r="U16" s="21">
        <v>8.5099999999999995E-2</v>
      </c>
      <c r="V16" s="20">
        <v>0</v>
      </c>
      <c r="W16" s="20">
        <v>0</v>
      </c>
      <c r="X16" s="22">
        <v>0</v>
      </c>
      <c r="Y16" s="21">
        <v>0.40450000000000003</v>
      </c>
      <c r="Z16" s="19"/>
      <c r="AA16" s="19">
        <v>88</v>
      </c>
      <c r="AB16" s="23">
        <v>4.4000000000000004</v>
      </c>
    </row>
    <row r="17" spans="1:28" ht="18" customHeight="1" x14ac:dyDescent="0.2">
      <c r="A17" s="19" t="s">
        <v>126</v>
      </c>
      <c r="B17" s="19" t="s">
        <v>84</v>
      </c>
      <c r="C17" s="19" t="s">
        <v>17</v>
      </c>
      <c r="D17" s="19" t="s">
        <v>85</v>
      </c>
      <c r="E17" s="19" t="s">
        <v>86</v>
      </c>
      <c r="F17" s="19" t="s">
        <v>103</v>
      </c>
      <c r="G17" s="19" t="s">
        <v>97</v>
      </c>
      <c r="H17" s="19" t="s">
        <v>57</v>
      </c>
      <c r="I17" s="19">
        <v>64094</v>
      </c>
      <c r="J17" s="19">
        <v>1309</v>
      </c>
      <c r="K17" s="19">
        <v>1240</v>
      </c>
      <c r="L17" s="19">
        <v>151</v>
      </c>
      <c r="M17" s="19">
        <v>255</v>
      </c>
      <c r="N17" s="19">
        <v>117</v>
      </c>
      <c r="O17" s="19">
        <v>71</v>
      </c>
      <c r="P17" s="19">
        <v>71</v>
      </c>
      <c r="Q17" s="20">
        <v>6461</v>
      </c>
      <c r="R17" s="20">
        <v>0</v>
      </c>
      <c r="S17" s="19">
        <v>91</v>
      </c>
      <c r="T17" s="21">
        <v>2.0400000000000001E-2</v>
      </c>
      <c r="U17" s="21">
        <v>5.7299999999999997E-2</v>
      </c>
      <c r="V17" s="20">
        <v>0</v>
      </c>
      <c r="W17" s="20">
        <v>0</v>
      </c>
      <c r="X17" s="22">
        <v>0</v>
      </c>
      <c r="Y17" s="21">
        <v>0.51119999999999999</v>
      </c>
      <c r="Z17" s="19">
        <v>10</v>
      </c>
      <c r="AA17" s="19">
        <v>73</v>
      </c>
      <c r="AB17" s="23">
        <v>3.8</v>
      </c>
    </row>
    <row r="18" spans="1:28" ht="18" customHeight="1" x14ac:dyDescent="0.2">
      <c r="A18" s="19" t="s">
        <v>127</v>
      </c>
      <c r="B18" s="19" t="s">
        <v>84</v>
      </c>
      <c r="C18" s="19" t="s">
        <v>18</v>
      </c>
      <c r="D18" s="19" t="s">
        <v>102</v>
      </c>
      <c r="E18" s="19" t="s">
        <v>91</v>
      </c>
      <c r="F18" s="19" t="s">
        <v>87</v>
      </c>
      <c r="G18" s="19" t="s">
        <v>88</v>
      </c>
      <c r="H18" s="19" t="s">
        <v>58</v>
      </c>
      <c r="I18" s="19">
        <v>21334</v>
      </c>
      <c r="J18" s="19">
        <v>917</v>
      </c>
      <c r="K18" s="19">
        <v>823</v>
      </c>
      <c r="L18" s="19">
        <v>169</v>
      </c>
      <c r="M18" s="19">
        <v>287</v>
      </c>
      <c r="N18" s="19">
        <v>166</v>
      </c>
      <c r="O18" s="19">
        <v>30</v>
      </c>
      <c r="P18" s="19">
        <v>30</v>
      </c>
      <c r="Q18" s="20">
        <v>2730</v>
      </c>
      <c r="R18" s="20">
        <v>13926</v>
      </c>
      <c r="S18" s="19">
        <v>91</v>
      </c>
      <c r="T18" s="21">
        <v>4.2999999999999997E-2</v>
      </c>
      <c r="U18" s="21">
        <v>3.6499999999999998E-2</v>
      </c>
      <c r="V18" s="20">
        <v>464.2</v>
      </c>
      <c r="W18" s="20">
        <v>15.19</v>
      </c>
      <c r="X18" s="22">
        <v>0.2</v>
      </c>
      <c r="Y18" s="21">
        <v>0.63739999999999997</v>
      </c>
      <c r="Z18" s="19"/>
      <c r="AA18" s="19">
        <v>96</v>
      </c>
      <c r="AB18" s="23">
        <v>4.0999999999999996</v>
      </c>
    </row>
    <row r="19" spans="1:28" ht="18" customHeight="1" x14ac:dyDescent="0.2">
      <c r="A19" s="19" t="s">
        <v>128</v>
      </c>
      <c r="B19" s="19" t="s">
        <v>84</v>
      </c>
      <c r="C19" s="19" t="s">
        <v>22</v>
      </c>
      <c r="D19" s="19" t="s">
        <v>102</v>
      </c>
      <c r="E19" s="19" t="s">
        <v>95</v>
      </c>
      <c r="F19" s="19" t="s">
        <v>120</v>
      </c>
      <c r="G19" s="19" t="s">
        <v>88</v>
      </c>
      <c r="H19" s="19" t="s">
        <v>57</v>
      </c>
      <c r="I19" s="19">
        <v>179075</v>
      </c>
      <c r="J19" s="19">
        <v>9145</v>
      </c>
      <c r="K19" s="19">
        <v>7161</v>
      </c>
      <c r="L19" s="19">
        <v>666</v>
      </c>
      <c r="M19" s="19">
        <v>2199</v>
      </c>
      <c r="N19" s="19">
        <v>1386</v>
      </c>
      <c r="O19" s="19">
        <v>341</v>
      </c>
      <c r="P19" s="19">
        <v>341</v>
      </c>
      <c r="Q19" s="20">
        <v>44330</v>
      </c>
      <c r="R19" s="20">
        <v>0</v>
      </c>
      <c r="S19" s="19">
        <v>130</v>
      </c>
      <c r="T19" s="21">
        <v>5.11E-2</v>
      </c>
      <c r="U19" s="21">
        <v>4.7600000000000003E-2</v>
      </c>
      <c r="V19" s="20">
        <v>0</v>
      </c>
      <c r="W19" s="20">
        <v>0</v>
      </c>
      <c r="X19" s="22">
        <v>0</v>
      </c>
      <c r="Y19" s="21">
        <v>0.67559999999999998</v>
      </c>
      <c r="Z19" s="19"/>
      <c r="AA19" s="19">
        <v>84</v>
      </c>
      <c r="AB19" s="23">
        <v>4.5</v>
      </c>
    </row>
    <row r="20" spans="1:28" ht="18" customHeight="1" x14ac:dyDescent="0.2">
      <c r="A20" s="19" t="s">
        <v>129</v>
      </c>
      <c r="B20" s="19" t="s">
        <v>84</v>
      </c>
      <c r="C20" s="19" t="s">
        <v>19</v>
      </c>
      <c r="D20" s="19" t="s">
        <v>102</v>
      </c>
      <c r="E20" s="19" t="s">
        <v>91</v>
      </c>
      <c r="F20" s="19" t="s">
        <v>130</v>
      </c>
      <c r="G20" s="19" t="s">
        <v>100</v>
      </c>
      <c r="H20" s="19" t="s">
        <v>57</v>
      </c>
      <c r="I20" s="19">
        <v>153378</v>
      </c>
      <c r="J20" s="19">
        <v>12717</v>
      </c>
      <c r="K20" s="19">
        <v>9580</v>
      </c>
      <c r="L20" s="19">
        <v>1739</v>
      </c>
      <c r="M20" s="19">
        <v>1975</v>
      </c>
      <c r="N20" s="19">
        <v>1079</v>
      </c>
      <c r="O20" s="19">
        <v>400</v>
      </c>
      <c r="P20" s="19">
        <v>400</v>
      </c>
      <c r="Q20" s="20">
        <v>22000</v>
      </c>
      <c r="R20" s="20">
        <v>29917</v>
      </c>
      <c r="S20" s="19">
        <v>55</v>
      </c>
      <c r="T20" s="21">
        <v>8.2900000000000001E-2</v>
      </c>
      <c r="U20" s="21">
        <v>4.1799999999999997E-2</v>
      </c>
      <c r="V20" s="20">
        <v>74.790000000000006</v>
      </c>
      <c r="W20" s="20">
        <v>2.35</v>
      </c>
      <c r="X20" s="22">
        <v>0.74</v>
      </c>
      <c r="Y20" s="21">
        <v>0.52990000000000004</v>
      </c>
      <c r="Z20" s="19"/>
      <c r="AA20" s="19">
        <v>74</v>
      </c>
      <c r="AB20" s="23">
        <v>4</v>
      </c>
    </row>
    <row r="21" spans="1:28" ht="18" customHeight="1" x14ac:dyDescent="0.2">
      <c r="A21" s="19" t="s">
        <v>131</v>
      </c>
      <c r="B21" s="19" t="s">
        <v>84</v>
      </c>
      <c r="C21" s="19" t="s">
        <v>20</v>
      </c>
      <c r="D21" s="19" t="s">
        <v>90</v>
      </c>
      <c r="E21" s="19" t="s">
        <v>91</v>
      </c>
      <c r="F21" s="19" t="s">
        <v>132</v>
      </c>
      <c r="G21" s="19" t="s">
        <v>88</v>
      </c>
      <c r="H21" s="19" t="s">
        <v>58</v>
      </c>
      <c r="I21" s="19">
        <v>190323</v>
      </c>
      <c r="J21" s="19">
        <v>14087</v>
      </c>
      <c r="K21" s="19">
        <v>14538</v>
      </c>
      <c r="L21" s="19">
        <v>1268</v>
      </c>
      <c r="M21" s="19">
        <v>3592</v>
      </c>
      <c r="N21" s="19">
        <v>2214</v>
      </c>
      <c r="O21" s="19">
        <v>1048</v>
      </c>
      <c r="P21" s="19">
        <v>1048</v>
      </c>
      <c r="Q21" s="20">
        <v>124712</v>
      </c>
      <c r="R21" s="20">
        <v>18394</v>
      </c>
      <c r="S21" s="19">
        <v>119</v>
      </c>
      <c r="T21" s="21">
        <v>7.3999999999999996E-2</v>
      </c>
      <c r="U21" s="21">
        <v>7.2099999999999997E-2</v>
      </c>
      <c r="V21" s="20">
        <v>17.55</v>
      </c>
      <c r="W21" s="20">
        <v>1.31</v>
      </c>
      <c r="X21" s="22">
        <v>6.78</v>
      </c>
      <c r="Y21" s="21">
        <v>0.49759999999999999</v>
      </c>
      <c r="Z21" s="19"/>
      <c r="AA21" s="19">
        <v>83</v>
      </c>
      <c r="AB21" s="23">
        <v>3.8</v>
      </c>
    </row>
    <row r="22" spans="1:28" ht="18" customHeight="1" x14ac:dyDescent="0.2">
      <c r="A22" s="19" t="s">
        <v>133</v>
      </c>
      <c r="B22" s="19" t="s">
        <v>84</v>
      </c>
      <c r="C22" s="19" t="s">
        <v>20</v>
      </c>
      <c r="D22" s="19" t="s">
        <v>85</v>
      </c>
      <c r="E22" s="19" t="s">
        <v>107</v>
      </c>
      <c r="F22" s="19" t="s">
        <v>134</v>
      </c>
      <c r="G22" s="19" t="s">
        <v>121</v>
      </c>
      <c r="H22" s="19" t="s">
        <v>58</v>
      </c>
      <c r="I22" s="19">
        <v>129188</v>
      </c>
      <c r="J22" s="19">
        <v>9038</v>
      </c>
      <c r="K22" s="19">
        <v>8346</v>
      </c>
      <c r="L22" s="19">
        <v>848</v>
      </c>
      <c r="M22" s="19">
        <v>1041</v>
      </c>
      <c r="N22" s="19">
        <v>636</v>
      </c>
      <c r="O22" s="19">
        <v>596</v>
      </c>
      <c r="P22" s="19">
        <v>596</v>
      </c>
      <c r="Q22" s="20">
        <v>95956</v>
      </c>
      <c r="R22" s="20">
        <v>2752</v>
      </c>
      <c r="S22" s="19">
        <v>161</v>
      </c>
      <c r="T22" s="21">
        <v>7.0000000000000007E-2</v>
      </c>
      <c r="U22" s="21">
        <v>7.1400000000000005E-2</v>
      </c>
      <c r="V22" s="20">
        <v>4.62</v>
      </c>
      <c r="W22" s="20">
        <v>0.3</v>
      </c>
      <c r="X22" s="22">
        <v>34.869999999999997</v>
      </c>
      <c r="Y22" s="21">
        <v>0.51590000000000003</v>
      </c>
      <c r="Z22" s="19"/>
      <c r="AA22" s="19">
        <v>68</v>
      </c>
      <c r="AB22" s="23">
        <v>3.6</v>
      </c>
    </row>
    <row r="23" spans="1:28" ht="18" customHeight="1" x14ac:dyDescent="0.2">
      <c r="A23" s="19" t="s">
        <v>135</v>
      </c>
      <c r="B23" s="19" t="s">
        <v>84</v>
      </c>
      <c r="C23" s="19" t="s">
        <v>22</v>
      </c>
      <c r="D23" s="19" t="s">
        <v>90</v>
      </c>
      <c r="E23" s="19" t="s">
        <v>114</v>
      </c>
      <c r="F23" s="19" t="s">
        <v>136</v>
      </c>
      <c r="G23" s="19" t="s">
        <v>88</v>
      </c>
      <c r="H23" s="19" t="s">
        <v>58</v>
      </c>
      <c r="I23" s="19">
        <v>67736</v>
      </c>
      <c r="J23" s="19">
        <v>2606</v>
      </c>
      <c r="K23" s="19">
        <v>2105</v>
      </c>
      <c r="L23" s="19">
        <v>227</v>
      </c>
      <c r="M23" s="19">
        <v>320</v>
      </c>
      <c r="N23" s="19">
        <v>206</v>
      </c>
      <c r="O23" s="19">
        <v>81</v>
      </c>
      <c r="P23" s="19">
        <v>81</v>
      </c>
      <c r="Q23" s="20">
        <v>10206</v>
      </c>
      <c r="R23" s="20">
        <v>0</v>
      </c>
      <c r="S23" s="19">
        <v>126</v>
      </c>
      <c r="T23" s="21">
        <v>3.85E-2</v>
      </c>
      <c r="U23" s="21">
        <v>3.85E-2</v>
      </c>
      <c r="V23" s="20">
        <v>0</v>
      </c>
      <c r="W23" s="20">
        <v>0</v>
      </c>
      <c r="X23" s="22">
        <v>0</v>
      </c>
      <c r="Y23" s="21">
        <v>0.47720000000000001</v>
      </c>
      <c r="Z23" s="19"/>
      <c r="AA23" s="19">
        <v>80</v>
      </c>
      <c r="AB23" s="23">
        <v>4.5</v>
      </c>
    </row>
    <row r="24" spans="1:28" ht="18" customHeight="1" x14ac:dyDescent="0.2">
      <c r="A24" s="19" t="s">
        <v>137</v>
      </c>
      <c r="B24" s="19" t="s">
        <v>84</v>
      </c>
      <c r="C24" s="19" t="s">
        <v>22</v>
      </c>
      <c r="D24" s="19" t="s">
        <v>102</v>
      </c>
      <c r="E24" s="19" t="s">
        <v>86</v>
      </c>
      <c r="F24" s="19" t="s">
        <v>138</v>
      </c>
      <c r="G24" s="19" t="s">
        <v>118</v>
      </c>
      <c r="H24" s="19" t="s">
        <v>58</v>
      </c>
      <c r="I24" s="19">
        <v>74554</v>
      </c>
      <c r="J24" s="19">
        <v>2097</v>
      </c>
      <c r="K24" s="19">
        <v>1762</v>
      </c>
      <c r="L24" s="19">
        <v>329</v>
      </c>
      <c r="M24" s="19">
        <v>365</v>
      </c>
      <c r="N24" s="19">
        <v>247</v>
      </c>
      <c r="O24" s="19">
        <v>119</v>
      </c>
      <c r="P24" s="19">
        <v>119</v>
      </c>
      <c r="Q24" s="20">
        <v>13447</v>
      </c>
      <c r="R24" s="20">
        <v>0</v>
      </c>
      <c r="S24" s="19">
        <v>113</v>
      </c>
      <c r="T24" s="21">
        <v>2.81E-2</v>
      </c>
      <c r="U24" s="21">
        <v>6.7500000000000004E-2</v>
      </c>
      <c r="V24" s="20">
        <v>0</v>
      </c>
      <c r="W24" s="20">
        <v>0</v>
      </c>
      <c r="X24" s="22">
        <v>0</v>
      </c>
      <c r="Y24" s="21">
        <v>0.60119999999999996</v>
      </c>
      <c r="Z24" s="19"/>
      <c r="AA24" s="19">
        <v>66</v>
      </c>
      <c r="AB24" s="23">
        <v>4.8</v>
      </c>
    </row>
    <row r="25" spans="1:28" ht="18" customHeight="1" x14ac:dyDescent="0.2">
      <c r="A25" s="19" t="s">
        <v>139</v>
      </c>
      <c r="B25" s="19" t="s">
        <v>84</v>
      </c>
      <c r="C25" s="19" t="s">
        <v>21</v>
      </c>
      <c r="D25" s="19" t="s">
        <v>85</v>
      </c>
      <c r="E25" s="19" t="s">
        <v>91</v>
      </c>
      <c r="F25" s="19" t="s">
        <v>96</v>
      </c>
      <c r="G25" s="19" t="s">
        <v>121</v>
      </c>
      <c r="H25" s="19" t="s">
        <v>58</v>
      </c>
      <c r="I25" s="19">
        <v>80245</v>
      </c>
      <c r="J25" s="19">
        <v>6262</v>
      </c>
      <c r="K25" s="19">
        <v>4878</v>
      </c>
      <c r="L25" s="19">
        <v>487</v>
      </c>
      <c r="M25" s="19">
        <v>1280</v>
      </c>
      <c r="N25" s="19">
        <v>458</v>
      </c>
      <c r="O25" s="19">
        <v>520</v>
      </c>
      <c r="P25" s="19">
        <v>458</v>
      </c>
      <c r="Q25" s="20">
        <v>43680</v>
      </c>
      <c r="R25" s="20">
        <v>0</v>
      </c>
      <c r="S25" s="19">
        <v>84</v>
      </c>
      <c r="T25" s="21">
        <v>7.8E-2</v>
      </c>
      <c r="U25" s="21">
        <v>0.1066</v>
      </c>
      <c r="V25" s="20">
        <v>0</v>
      </c>
      <c r="W25" s="20">
        <v>0</v>
      </c>
      <c r="X25" s="22">
        <v>0</v>
      </c>
      <c r="Y25" s="21">
        <v>0.5847</v>
      </c>
      <c r="Z25" s="19"/>
      <c r="AA25" s="19">
        <v>95</v>
      </c>
      <c r="AB25" s="23">
        <v>4.0999999999999996</v>
      </c>
    </row>
    <row r="26" spans="1:28" ht="18" customHeight="1" x14ac:dyDescent="0.2">
      <c r="A26" s="19" t="s">
        <v>140</v>
      </c>
      <c r="B26" s="19" t="s">
        <v>84</v>
      </c>
      <c r="C26" s="19" t="s">
        <v>22</v>
      </c>
      <c r="D26" s="19" t="s">
        <v>85</v>
      </c>
      <c r="E26" s="19" t="s">
        <v>114</v>
      </c>
      <c r="F26" s="19" t="s">
        <v>136</v>
      </c>
      <c r="G26" s="19" t="s">
        <v>97</v>
      </c>
      <c r="H26" s="19" t="s">
        <v>58</v>
      </c>
      <c r="I26" s="19">
        <v>197455</v>
      </c>
      <c r="J26" s="19">
        <v>2782</v>
      </c>
      <c r="K26" s="19">
        <v>2759</v>
      </c>
      <c r="L26" s="19">
        <v>471</v>
      </c>
      <c r="M26" s="19">
        <v>441</v>
      </c>
      <c r="N26" s="19">
        <v>184</v>
      </c>
      <c r="O26" s="19">
        <v>136</v>
      </c>
      <c r="P26" s="19">
        <v>136</v>
      </c>
      <c r="Q26" s="20">
        <v>7208</v>
      </c>
      <c r="R26" s="20">
        <v>0</v>
      </c>
      <c r="S26" s="19">
        <v>53</v>
      </c>
      <c r="T26" s="21">
        <v>1.41E-2</v>
      </c>
      <c r="U26" s="21">
        <v>4.9299999999999997E-2</v>
      </c>
      <c r="V26" s="20">
        <v>0</v>
      </c>
      <c r="W26" s="20">
        <v>0</v>
      </c>
      <c r="X26" s="22">
        <v>0</v>
      </c>
      <c r="Y26" s="21">
        <v>0.37430000000000002</v>
      </c>
      <c r="Z26" s="19"/>
      <c r="AA26" s="19">
        <v>98</v>
      </c>
      <c r="AB26" s="23">
        <v>4</v>
      </c>
    </row>
    <row r="27" spans="1:28" ht="18" customHeight="1" x14ac:dyDescent="0.2">
      <c r="A27" s="19" t="s">
        <v>141</v>
      </c>
      <c r="B27" s="19" t="s">
        <v>84</v>
      </c>
      <c r="C27" s="19" t="s">
        <v>20</v>
      </c>
      <c r="D27" s="19" t="s">
        <v>85</v>
      </c>
      <c r="E27" s="19" t="s">
        <v>114</v>
      </c>
      <c r="F27" s="19" t="s">
        <v>142</v>
      </c>
      <c r="G27" s="19" t="s">
        <v>97</v>
      </c>
      <c r="H27" s="19" t="s">
        <v>57</v>
      </c>
      <c r="I27" s="19">
        <v>261144</v>
      </c>
      <c r="J27" s="19">
        <v>9559</v>
      </c>
      <c r="K27" s="19">
        <v>8316</v>
      </c>
      <c r="L27" s="19">
        <v>1598</v>
      </c>
      <c r="M27" s="19">
        <v>2032</v>
      </c>
      <c r="N27" s="19">
        <v>979</v>
      </c>
      <c r="O27" s="19">
        <v>602</v>
      </c>
      <c r="P27" s="19">
        <v>602</v>
      </c>
      <c r="Q27" s="20">
        <v>45752</v>
      </c>
      <c r="R27" s="20">
        <v>28188</v>
      </c>
      <c r="S27" s="19">
        <v>76</v>
      </c>
      <c r="T27" s="21">
        <v>3.6600000000000001E-2</v>
      </c>
      <c r="U27" s="21">
        <v>7.2400000000000006E-2</v>
      </c>
      <c r="V27" s="20">
        <v>46.82</v>
      </c>
      <c r="W27" s="20">
        <v>2.95</v>
      </c>
      <c r="X27" s="22">
        <v>1.62</v>
      </c>
      <c r="Y27" s="21">
        <v>0.35799999999999998</v>
      </c>
      <c r="Z27" s="19"/>
      <c r="AA27" s="19">
        <v>88</v>
      </c>
      <c r="AB27" s="23">
        <v>4.2</v>
      </c>
    </row>
    <row r="28" spans="1:28" ht="18" customHeight="1" x14ac:dyDescent="0.2">
      <c r="A28" s="19" t="s">
        <v>143</v>
      </c>
      <c r="B28" s="19" t="s">
        <v>84</v>
      </c>
      <c r="C28" s="19" t="s">
        <v>17</v>
      </c>
      <c r="D28" s="19" t="s">
        <v>85</v>
      </c>
      <c r="E28" s="19" t="s">
        <v>86</v>
      </c>
      <c r="F28" s="19" t="s">
        <v>144</v>
      </c>
      <c r="G28" s="19" t="s">
        <v>93</v>
      </c>
      <c r="H28" s="19" t="s">
        <v>57</v>
      </c>
      <c r="I28" s="19">
        <v>38033</v>
      </c>
      <c r="J28" s="19">
        <v>582</v>
      </c>
      <c r="K28" s="19">
        <v>616</v>
      </c>
      <c r="L28" s="19">
        <v>70</v>
      </c>
      <c r="M28" s="19">
        <v>136</v>
      </c>
      <c r="N28" s="19">
        <v>66</v>
      </c>
      <c r="O28" s="19">
        <v>17</v>
      </c>
      <c r="P28" s="19">
        <v>17</v>
      </c>
      <c r="Q28" s="20">
        <v>1921</v>
      </c>
      <c r="R28" s="20">
        <v>0</v>
      </c>
      <c r="S28" s="19">
        <v>113</v>
      </c>
      <c r="T28" s="21">
        <v>1.5299999999999999E-2</v>
      </c>
      <c r="U28" s="21">
        <v>2.76E-2</v>
      </c>
      <c r="V28" s="20">
        <v>0</v>
      </c>
      <c r="W28" s="20">
        <v>0</v>
      </c>
      <c r="X28" s="22">
        <v>0</v>
      </c>
      <c r="Y28" s="21">
        <v>0.63770000000000004</v>
      </c>
      <c r="Z28" s="19">
        <v>28</v>
      </c>
      <c r="AA28" s="19">
        <v>66</v>
      </c>
      <c r="AB28" s="23">
        <v>3.7</v>
      </c>
    </row>
    <row r="29" spans="1:28" ht="18" customHeight="1" x14ac:dyDescent="0.2">
      <c r="A29" s="19" t="s">
        <v>145</v>
      </c>
      <c r="B29" s="19" t="s">
        <v>84</v>
      </c>
      <c r="C29" s="19" t="s">
        <v>18</v>
      </c>
      <c r="D29" s="19" t="s">
        <v>85</v>
      </c>
      <c r="E29" s="19" t="s">
        <v>86</v>
      </c>
      <c r="F29" s="19" t="s">
        <v>108</v>
      </c>
      <c r="G29" s="19" t="s">
        <v>118</v>
      </c>
      <c r="H29" s="19" t="s">
        <v>57</v>
      </c>
      <c r="I29" s="19">
        <v>260732</v>
      </c>
      <c r="J29" s="19">
        <v>10645</v>
      </c>
      <c r="K29" s="19">
        <v>9006</v>
      </c>
      <c r="L29" s="19">
        <v>1548</v>
      </c>
      <c r="M29" s="19">
        <v>1560</v>
      </c>
      <c r="N29" s="19">
        <v>1002</v>
      </c>
      <c r="O29" s="19">
        <v>416</v>
      </c>
      <c r="P29" s="19">
        <v>416</v>
      </c>
      <c r="Q29" s="20">
        <v>52416</v>
      </c>
      <c r="R29" s="20">
        <v>33549</v>
      </c>
      <c r="S29" s="19">
        <v>126</v>
      </c>
      <c r="T29" s="21">
        <v>4.0800000000000003E-2</v>
      </c>
      <c r="U29" s="21">
        <v>4.6199999999999998E-2</v>
      </c>
      <c r="V29" s="20">
        <v>80.650000000000006</v>
      </c>
      <c r="W29" s="20">
        <v>3.15</v>
      </c>
      <c r="X29" s="22">
        <v>1.56</v>
      </c>
      <c r="Y29" s="21">
        <v>0.30370000000000003</v>
      </c>
      <c r="Z29" s="19"/>
      <c r="AA29" s="19">
        <v>83</v>
      </c>
      <c r="AB29" s="23">
        <v>4.2</v>
      </c>
    </row>
    <row r="30" spans="1:28" ht="18" customHeight="1" x14ac:dyDescent="0.2">
      <c r="A30" s="19" t="s">
        <v>146</v>
      </c>
      <c r="B30" s="19" t="s">
        <v>84</v>
      </c>
      <c r="C30" s="19" t="s">
        <v>18</v>
      </c>
      <c r="D30" s="19" t="s">
        <v>102</v>
      </c>
      <c r="E30" s="19" t="s">
        <v>91</v>
      </c>
      <c r="F30" s="19" t="s">
        <v>147</v>
      </c>
      <c r="G30" s="19" t="s">
        <v>97</v>
      </c>
      <c r="H30" s="19" t="s">
        <v>57</v>
      </c>
      <c r="I30" s="19">
        <v>97437</v>
      </c>
      <c r="J30" s="19">
        <v>5089</v>
      </c>
      <c r="K30" s="19">
        <v>5491</v>
      </c>
      <c r="L30" s="19">
        <v>638</v>
      </c>
      <c r="M30" s="19">
        <v>1774</v>
      </c>
      <c r="N30" s="19">
        <v>707</v>
      </c>
      <c r="O30" s="19">
        <v>387</v>
      </c>
      <c r="P30" s="19">
        <v>387</v>
      </c>
      <c r="Q30" s="20">
        <v>41022</v>
      </c>
      <c r="R30" s="20">
        <v>29699</v>
      </c>
      <c r="S30" s="19">
        <v>106</v>
      </c>
      <c r="T30" s="21">
        <v>5.2200000000000003E-2</v>
      </c>
      <c r="U30" s="21">
        <v>7.0499999999999993E-2</v>
      </c>
      <c r="V30" s="20">
        <v>76.739999999999995</v>
      </c>
      <c r="W30" s="20">
        <v>5.84</v>
      </c>
      <c r="X30" s="22">
        <v>1.38</v>
      </c>
      <c r="Y30" s="21">
        <v>0.36599999999999999</v>
      </c>
      <c r="Z30" s="19"/>
      <c r="AA30" s="19">
        <v>91</v>
      </c>
      <c r="AB30" s="23">
        <v>4.0999999999999996</v>
      </c>
    </row>
    <row r="31" spans="1:28" ht="18" customHeight="1" x14ac:dyDescent="0.2">
      <c r="A31" s="19" t="s">
        <v>148</v>
      </c>
      <c r="B31" s="19" t="s">
        <v>84</v>
      </c>
      <c r="C31" s="19" t="s">
        <v>20</v>
      </c>
      <c r="D31" s="19" t="s">
        <v>85</v>
      </c>
      <c r="E31" s="19" t="s">
        <v>86</v>
      </c>
      <c r="F31" s="19" t="s">
        <v>149</v>
      </c>
      <c r="G31" s="19" t="s">
        <v>97</v>
      </c>
      <c r="H31" s="19" t="s">
        <v>57</v>
      </c>
      <c r="I31" s="19">
        <v>94574</v>
      </c>
      <c r="J31" s="19">
        <v>7752</v>
      </c>
      <c r="K31" s="19">
        <v>8017</v>
      </c>
      <c r="L31" s="19">
        <v>1745</v>
      </c>
      <c r="M31" s="19">
        <v>1873</v>
      </c>
      <c r="N31" s="19">
        <v>1202</v>
      </c>
      <c r="O31" s="19">
        <v>696</v>
      </c>
      <c r="P31" s="19">
        <v>696</v>
      </c>
      <c r="Q31" s="20">
        <v>40368</v>
      </c>
      <c r="R31" s="20">
        <v>11687</v>
      </c>
      <c r="S31" s="19">
        <v>58</v>
      </c>
      <c r="T31" s="21">
        <v>8.2000000000000003E-2</v>
      </c>
      <c r="U31" s="21">
        <v>8.6800000000000002E-2</v>
      </c>
      <c r="V31" s="20">
        <v>16.79</v>
      </c>
      <c r="W31" s="20">
        <v>1.51</v>
      </c>
      <c r="X31" s="22">
        <v>3.45</v>
      </c>
      <c r="Y31" s="21">
        <v>0.2427</v>
      </c>
      <c r="Z31" s="19"/>
      <c r="AA31" s="19">
        <v>84</v>
      </c>
      <c r="AB31" s="23">
        <v>4</v>
      </c>
    </row>
    <row r="32" spans="1:28" ht="18" customHeight="1" x14ac:dyDescent="0.2">
      <c r="A32" s="19" t="s">
        <v>150</v>
      </c>
      <c r="B32" s="19" t="s">
        <v>84</v>
      </c>
      <c r="C32" s="19" t="s">
        <v>17</v>
      </c>
      <c r="D32" s="19" t="s">
        <v>85</v>
      </c>
      <c r="E32" s="19" t="s">
        <v>95</v>
      </c>
      <c r="F32" s="19" t="s">
        <v>144</v>
      </c>
      <c r="G32" s="19" t="s">
        <v>88</v>
      </c>
      <c r="H32" s="19" t="s">
        <v>58</v>
      </c>
      <c r="I32" s="19">
        <v>79265</v>
      </c>
      <c r="J32" s="19">
        <v>3737</v>
      </c>
      <c r="K32" s="19">
        <v>3691</v>
      </c>
      <c r="L32" s="19">
        <v>790</v>
      </c>
      <c r="M32" s="19">
        <v>1194</v>
      </c>
      <c r="N32" s="19">
        <v>725</v>
      </c>
      <c r="O32" s="19">
        <v>177</v>
      </c>
      <c r="P32" s="19">
        <v>177</v>
      </c>
      <c r="Q32" s="20">
        <v>14514</v>
      </c>
      <c r="R32" s="20">
        <v>0</v>
      </c>
      <c r="S32" s="19">
        <v>82</v>
      </c>
      <c r="T32" s="21">
        <v>4.7100000000000003E-2</v>
      </c>
      <c r="U32" s="21">
        <v>4.8000000000000001E-2</v>
      </c>
      <c r="V32" s="20">
        <v>0</v>
      </c>
      <c r="W32" s="20">
        <v>0</v>
      </c>
      <c r="X32" s="22">
        <v>0</v>
      </c>
      <c r="Y32" s="21">
        <v>0.55230000000000001</v>
      </c>
      <c r="Z32" s="19">
        <v>17</v>
      </c>
      <c r="AA32" s="19">
        <v>82</v>
      </c>
      <c r="AB32" s="23">
        <v>4.5</v>
      </c>
    </row>
    <row r="33" spans="1:28" ht="18" customHeight="1" x14ac:dyDescent="0.2">
      <c r="A33" s="19" t="s">
        <v>151</v>
      </c>
      <c r="B33" s="19" t="s">
        <v>152</v>
      </c>
      <c r="C33" s="19" t="s">
        <v>18</v>
      </c>
      <c r="D33" s="19" t="s">
        <v>102</v>
      </c>
      <c r="E33" s="19" t="s">
        <v>95</v>
      </c>
      <c r="F33" s="19" t="s">
        <v>147</v>
      </c>
      <c r="G33" s="19" t="s">
        <v>97</v>
      </c>
      <c r="H33" s="19" t="s">
        <v>57</v>
      </c>
      <c r="I33" s="19">
        <v>159249</v>
      </c>
      <c r="J33" s="19">
        <v>9887</v>
      </c>
      <c r="K33" s="19">
        <v>9771</v>
      </c>
      <c r="L33" s="19">
        <v>843</v>
      </c>
      <c r="M33" s="19">
        <v>1325</v>
      </c>
      <c r="N33" s="19">
        <v>831</v>
      </c>
      <c r="O33" s="19">
        <v>505</v>
      </c>
      <c r="P33" s="19">
        <v>505</v>
      </c>
      <c r="Q33" s="20">
        <v>90900</v>
      </c>
      <c r="R33" s="20">
        <v>24835</v>
      </c>
      <c r="S33" s="19">
        <v>180</v>
      </c>
      <c r="T33" s="21">
        <v>6.2100000000000002E-2</v>
      </c>
      <c r="U33" s="21">
        <v>5.1700000000000003E-2</v>
      </c>
      <c r="V33" s="20">
        <v>49.18</v>
      </c>
      <c r="W33" s="20">
        <v>2.5099999999999998</v>
      </c>
      <c r="X33" s="22">
        <v>3.66</v>
      </c>
      <c r="Y33" s="21">
        <v>0.40229999999999999</v>
      </c>
      <c r="Z33" s="19"/>
      <c r="AA33" s="19">
        <v>82</v>
      </c>
      <c r="AB33" s="23">
        <v>4.5999999999999996</v>
      </c>
    </row>
    <row r="34" spans="1:28" ht="18" customHeight="1" x14ac:dyDescent="0.2">
      <c r="A34" s="19" t="s">
        <v>153</v>
      </c>
      <c r="B34" s="19" t="s">
        <v>152</v>
      </c>
      <c r="C34" s="19" t="s">
        <v>19</v>
      </c>
      <c r="D34" s="19" t="s">
        <v>102</v>
      </c>
      <c r="E34" s="19" t="s">
        <v>114</v>
      </c>
      <c r="F34" s="19" t="s">
        <v>130</v>
      </c>
      <c r="G34" s="19" t="s">
        <v>118</v>
      </c>
      <c r="H34" s="19" t="s">
        <v>57</v>
      </c>
      <c r="I34" s="19">
        <v>150497</v>
      </c>
      <c r="J34" s="19">
        <v>3113</v>
      </c>
      <c r="K34" s="19">
        <v>2686</v>
      </c>
      <c r="L34" s="19">
        <v>311</v>
      </c>
      <c r="M34" s="19">
        <v>616</v>
      </c>
      <c r="N34" s="19">
        <v>402</v>
      </c>
      <c r="O34" s="19">
        <v>71</v>
      </c>
      <c r="P34" s="19">
        <v>71</v>
      </c>
      <c r="Q34" s="20">
        <v>12354</v>
      </c>
      <c r="R34" s="20">
        <v>10159</v>
      </c>
      <c r="S34" s="19">
        <v>174</v>
      </c>
      <c r="T34" s="21">
        <v>2.07E-2</v>
      </c>
      <c r="U34" s="21">
        <v>2.64E-2</v>
      </c>
      <c r="V34" s="20">
        <v>143.08000000000001</v>
      </c>
      <c r="W34" s="20">
        <v>3.26</v>
      </c>
      <c r="X34" s="22">
        <v>1.22</v>
      </c>
      <c r="Y34" s="21">
        <v>0.44180000000000003</v>
      </c>
      <c r="Z34" s="19"/>
      <c r="AA34" s="19">
        <v>87</v>
      </c>
      <c r="AB34" s="23">
        <v>3.8</v>
      </c>
    </row>
    <row r="35" spans="1:28" ht="18" customHeight="1" x14ac:dyDescent="0.2">
      <c r="A35" s="19" t="s">
        <v>154</v>
      </c>
      <c r="B35" s="19" t="s">
        <v>152</v>
      </c>
      <c r="C35" s="19" t="s">
        <v>18</v>
      </c>
      <c r="D35" s="19" t="s">
        <v>90</v>
      </c>
      <c r="E35" s="19" t="s">
        <v>95</v>
      </c>
      <c r="F35" s="19" t="s">
        <v>108</v>
      </c>
      <c r="G35" s="19" t="s">
        <v>93</v>
      </c>
      <c r="H35" s="19" t="s">
        <v>57</v>
      </c>
      <c r="I35" s="19">
        <v>77341</v>
      </c>
      <c r="J35" s="19">
        <v>2089</v>
      </c>
      <c r="K35" s="19">
        <v>1898</v>
      </c>
      <c r="L35" s="19">
        <v>334</v>
      </c>
      <c r="M35" s="19">
        <v>533</v>
      </c>
      <c r="N35" s="19">
        <v>375</v>
      </c>
      <c r="O35" s="19">
        <v>81</v>
      </c>
      <c r="P35" s="19">
        <v>81</v>
      </c>
      <c r="Q35" s="20">
        <v>12717</v>
      </c>
      <c r="R35" s="20">
        <v>19668</v>
      </c>
      <c r="S35" s="19">
        <v>157</v>
      </c>
      <c r="T35" s="21">
        <v>2.7E-2</v>
      </c>
      <c r="U35" s="21">
        <v>4.2700000000000002E-2</v>
      </c>
      <c r="V35" s="20">
        <v>242.81</v>
      </c>
      <c r="W35" s="20">
        <v>9.42</v>
      </c>
      <c r="X35" s="22">
        <v>0.65</v>
      </c>
      <c r="Y35" s="21">
        <v>0.38419999999999999</v>
      </c>
      <c r="Z35" s="19"/>
      <c r="AA35" s="19">
        <v>96</v>
      </c>
      <c r="AB35" s="23">
        <v>3.8</v>
      </c>
    </row>
    <row r="36" spans="1:28" ht="18" customHeight="1" x14ac:dyDescent="0.2">
      <c r="A36" s="19" t="s">
        <v>155</v>
      </c>
      <c r="B36" s="19" t="s">
        <v>152</v>
      </c>
      <c r="C36" s="19" t="s">
        <v>19</v>
      </c>
      <c r="D36" s="19" t="s">
        <v>102</v>
      </c>
      <c r="E36" s="19" t="s">
        <v>116</v>
      </c>
      <c r="F36" s="19" t="s">
        <v>117</v>
      </c>
      <c r="G36" s="19" t="s">
        <v>100</v>
      </c>
      <c r="H36" s="19" t="s">
        <v>58</v>
      </c>
      <c r="I36" s="19">
        <v>194409</v>
      </c>
      <c r="J36" s="19">
        <v>15708</v>
      </c>
      <c r="K36" s="19">
        <v>11810</v>
      </c>
      <c r="L36" s="19">
        <v>1562</v>
      </c>
      <c r="M36" s="19">
        <v>1649</v>
      </c>
      <c r="N36" s="19">
        <v>837</v>
      </c>
      <c r="O36" s="19">
        <v>632</v>
      </c>
      <c r="P36" s="19">
        <v>632</v>
      </c>
      <c r="Q36" s="20">
        <v>113128</v>
      </c>
      <c r="R36" s="20">
        <v>15565</v>
      </c>
      <c r="S36" s="19">
        <v>179</v>
      </c>
      <c r="T36" s="21">
        <v>8.0799999999999997E-2</v>
      </c>
      <c r="U36" s="21">
        <v>5.3499999999999999E-2</v>
      </c>
      <c r="V36" s="20">
        <v>24.63</v>
      </c>
      <c r="W36" s="20">
        <v>0.99</v>
      </c>
      <c r="X36" s="22">
        <v>7.27</v>
      </c>
      <c r="Y36" s="21">
        <v>0.21679999999999999</v>
      </c>
      <c r="Z36" s="19"/>
      <c r="AA36" s="19">
        <v>96</v>
      </c>
      <c r="AB36" s="23">
        <v>4.7</v>
      </c>
    </row>
    <row r="37" spans="1:28" ht="18" customHeight="1" x14ac:dyDescent="0.2">
      <c r="A37" s="19" t="s">
        <v>156</v>
      </c>
      <c r="B37" s="19" t="s">
        <v>152</v>
      </c>
      <c r="C37" s="19" t="s">
        <v>18</v>
      </c>
      <c r="D37" s="19" t="s">
        <v>90</v>
      </c>
      <c r="E37" s="19" t="s">
        <v>95</v>
      </c>
      <c r="F37" s="19" t="s">
        <v>87</v>
      </c>
      <c r="G37" s="19" t="s">
        <v>97</v>
      </c>
      <c r="H37" s="19" t="s">
        <v>58</v>
      </c>
      <c r="I37" s="19">
        <v>182652</v>
      </c>
      <c r="J37" s="19">
        <v>3236</v>
      </c>
      <c r="K37" s="19">
        <v>2571</v>
      </c>
      <c r="L37" s="19">
        <v>491</v>
      </c>
      <c r="M37" s="19">
        <v>543</v>
      </c>
      <c r="N37" s="19">
        <v>334</v>
      </c>
      <c r="O37" s="19">
        <v>132</v>
      </c>
      <c r="P37" s="19">
        <v>132</v>
      </c>
      <c r="Q37" s="20">
        <v>19404</v>
      </c>
      <c r="R37" s="20">
        <v>7120</v>
      </c>
      <c r="S37" s="19">
        <v>147</v>
      </c>
      <c r="T37" s="21">
        <v>1.77E-2</v>
      </c>
      <c r="U37" s="21">
        <v>5.1299999999999998E-2</v>
      </c>
      <c r="V37" s="20">
        <v>53.94</v>
      </c>
      <c r="W37" s="20">
        <v>2.2000000000000002</v>
      </c>
      <c r="X37" s="22">
        <v>2.73</v>
      </c>
      <c r="Y37" s="21">
        <v>0.46539999999999998</v>
      </c>
      <c r="Z37" s="19"/>
      <c r="AA37" s="19">
        <v>80</v>
      </c>
      <c r="AB37" s="23">
        <v>4</v>
      </c>
    </row>
    <row r="38" spans="1:28" ht="18" customHeight="1" x14ac:dyDescent="0.2">
      <c r="A38" s="19" t="s">
        <v>157</v>
      </c>
      <c r="B38" s="19" t="s">
        <v>152</v>
      </c>
      <c r="C38" s="19" t="s">
        <v>19</v>
      </c>
      <c r="D38" s="19" t="s">
        <v>85</v>
      </c>
      <c r="E38" s="19" t="s">
        <v>114</v>
      </c>
      <c r="F38" s="19" t="s">
        <v>105</v>
      </c>
      <c r="G38" s="19" t="s">
        <v>88</v>
      </c>
      <c r="H38" s="19" t="s">
        <v>58</v>
      </c>
      <c r="I38" s="19">
        <v>118338</v>
      </c>
      <c r="J38" s="19">
        <v>6356</v>
      </c>
      <c r="K38" s="19">
        <v>6354</v>
      </c>
      <c r="L38" s="19">
        <v>727</v>
      </c>
      <c r="M38" s="19">
        <v>1864</v>
      </c>
      <c r="N38" s="19">
        <v>1175</v>
      </c>
      <c r="O38" s="19">
        <v>201</v>
      </c>
      <c r="P38" s="19">
        <v>201</v>
      </c>
      <c r="Q38" s="20">
        <v>15678</v>
      </c>
      <c r="R38" s="20">
        <v>18766</v>
      </c>
      <c r="S38" s="19">
        <v>78</v>
      </c>
      <c r="T38" s="21">
        <v>5.3699999999999998E-2</v>
      </c>
      <c r="U38" s="21">
        <v>3.1600000000000003E-2</v>
      </c>
      <c r="V38" s="20">
        <v>93.36</v>
      </c>
      <c r="W38" s="20">
        <v>2.95</v>
      </c>
      <c r="X38" s="22">
        <v>0.84</v>
      </c>
      <c r="Y38" s="21">
        <v>0.30270000000000002</v>
      </c>
      <c r="Z38" s="19"/>
      <c r="AA38" s="19">
        <v>77</v>
      </c>
      <c r="AB38" s="23">
        <v>4.3</v>
      </c>
    </row>
    <row r="39" spans="1:28" ht="18" customHeight="1" x14ac:dyDescent="0.2">
      <c r="A39" s="19" t="s">
        <v>158</v>
      </c>
      <c r="B39" s="19" t="s">
        <v>152</v>
      </c>
      <c r="C39" s="19" t="s">
        <v>20</v>
      </c>
      <c r="D39" s="19" t="s">
        <v>90</v>
      </c>
      <c r="E39" s="19" t="s">
        <v>91</v>
      </c>
      <c r="F39" s="19" t="s">
        <v>149</v>
      </c>
      <c r="G39" s="19" t="s">
        <v>100</v>
      </c>
      <c r="H39" s="19" t="s">
        <v>57</v>
      </c>
      <c r="I39" s="19">
        <v>65136</v>
      </c>
      <c r="J39" s="19">
        <v>2041</v>
      </c>
      <c r="K39" s="19">
        <v>1672</v>
      </c>
      <c r="L39" s="19">
        <v>212</v>
      </c>
      <c r="M39" s="19">
        <v>232</v>
      </c>
      <c r="N39" s="19">
        <v>166</v>
      </c>
      <c r="O39" s="19">
        <v>105</v>
      </c>
      <c r="P39" s="19">
        <v>105</v>
      </c>
      <c r="Q39" s="20">
        <v>8715</v>
      </c>
      <c r="R39" s="20">
        <v>14002</v>
      </c>
      <c r="S39" s="19">
        <v>83</v>
      </c>
      <c r="T39" s="21">
        <v>3.1300000000000001E-2</v>
      </c>
      <c r="U39" s="21">
        <v>6.2799999999999995E-2</v>
      </c>
      <c r="V39" s="20">
        <v>133.35</v>
      </c>
      <c r="W39" s="20">
        <v>6.86</v>
      </c>
      <c r="X39" s="22">
        <v>0.62</v>
      </c>
      <c r="Y39" s="21">
        <v>0.28870000000000001</v>
      </c>
      <c r="Z39" s="19"/>
      <c r="AA39" s="19">
        <v>70</v>
      </c>
      <c r="AB39" s="23">
        <v>4.5999999999999996</v>
      </c>
    </row>
    <row r="40" spans="1:28" ht="18" customHeight="1" x14ac:dyDescent="0.2">
      <c r="A40" s="19" t="s">
        <v>159</v>
      </c>
      <c r="B40" s="19" t="s">
        <v>152</v>
      </c>
      <c r="C40" s="19" t="s">
        <v>18</v>
      </c>
      <c r="D40" s="19" t="s">
        <v>85</v>
      </c>
      <c r="E40" s="19" t="s">
        <v>91</v>
      </c>
      <c r="F40" s="19" t="s">
        <v>108</v>
      </c>
      <c r="G40" s="19" t="s">
        <v>118</v>
      </c>
      <c r="H40" s="19" t="s">
        <v>58</v>
      </c>
      <c r="I40" s="19">
        <v>99476</v>
      </c>
      <c r="J40" s="19">
        <v>5256</v>
      </c>
      <c r="K40" s="19">
        <v>4785</v>
      </c>
      <c r="L40" s="19">
        <v>1045</v>
      </c>
      <c r="M40" s="19">
        <v>1270</v>
      </c>
      <c r="N40" s="19">
        <v>610</v>
      </c>
      <c r="O40" s="19">
        <v>373</v>
      </c>
      <c r="P40" s="19">
        <v>373</v>
      </c>
      <c r="Q40" s="20">
        <v>52593</v>
      </c>
      <c r="R40" s="20">
        <v>12139</v>
      </c>
      <c r="S40" s="19">
        <v>141</v>
      </c>
      <c r="T40" s="21">
        <v>5.28E-2</v>
      </c>
      <c r="U40" s="21">
        <v>7.8E-2</v>
      </c>
      <c r="V40" s="20">
        <v>32.54</v>
      </c>
      <c r="W40" s="20">
        <v>2.31</v>
      </c>
      <c r="X40" s="22">
        <v>4.33</v>
      </c>
      <c r="Y40" s="21">
        <v>0.18690000000000001</v>
      </c>
      <c r="Z40" s="19"/>
      <c r="AA40" s="19">
        <v>78</v>
      </c>
      <c r="AB40" s="23">
        <v>3.9</v>
      </c>
    </row>
    <row r="41" spans="1:28" ht="18" customHeight="1" x14ac:dyDescent="0.2">
      <c r="A41" s="19" t="s">
        <v>160</v>
      </c>
      <c r="B41" s="19" t="s">
        <v>152</v>
      </c>
      <c r="C41" s="19" t="s">
        <v>22</v>
      </c>
      <c r="D41" s="19" t="s">
        <v>90</v>
      </c>
      <c r="E41" s="19" t="s">
        <v>116</v>
      </c>
      <c r="F41" s="19" t="s">
        <v>161</v>
      </c>
      <c r="G41" s="19" t="s">
        <v>97</v>
      </c>
      <c r="H41" s="19" t="s">
        <v>57</v>
      </c>
      <c r="I41" s="19">
        <v>100977</v>
      </c>
      <c r="J41" s="19">
        <v>5517</v>
      </c>
      <c r="K41" s="19">
        <v>4470</v>
      </c>
      <c r="L41" s="19">
        <v>916</v>
      </c>
      <c r="M41" s="19">
        <v>1046</v>
      </c>
      <c r="N41" s="19">
        <v>725</v>
      </c>
      <c r="O41" s="19">
        <v>241</v>
      </c>
      <c r="P41" s="19">
        <v>241</v>
      </c>
      <c r="Q41" s="20">
        <v>16388</v>
      </c>
      <c r="R41" s="20">
        <v>0</v>
      </c>
      <c r="S41" s="19">
        <v>68</v>
      </c>
      <c r="T41" s="21">
        <v>5.4600000000000003E-2</v>
      </c>
      <c r="U41" s="21">
        <v>5.3900000000000003E-2</v>
      </c>
      <c r="V41" s="20">
        <v>0</v>
      </c>
      <c r="W41" s="20">
        <v>0</v>
      </c>
      <c r="X41" s="22">
        <v>0</v>
      </c>
      <c r="Y41" s="21">
        <v>0.39539999999999997</v>
      </c>
      <c r="Z41" s="19"/>
      <c r="AA41" s="19">
        <v>63</v>
      </c>
      <c r="AB41" s="23">
        <v>4.9000000000000004</v>
      </c>
    </row>
    <row r="42" spans="1:28" ht="18" customHeight="1" x14ac:dyDescent="0.2">
      <c r="A42" s="19" t="s">
        <v>162</v>
      </c>
      <c r="B42" s="19" t="s">
        <v>152</v>
      </c>
      <c r="C42" s="19" t="s">
        <v>20</v>
      </c>
      <c r="D42" s="19" t="s">
        <v>102</v>
      </c>
      <c r="E42" s="19" t="s">
        <v>107</v>
      </c>
      <c r="F42" s="19" t="s">
        <v>163</v>
      </c>
      <c r="G42" s="19" t="s">
        <v>100</v>
      </c>
      <c r="H42" s="19" t="s">
        <v>57</v>
      </c>
      <c r="I42" s="19">
        <v>54785</v>
      </c>
      <c r="J42" s="19">
        <v>2508</v>
      </c>
      <c r="K42" s="19">
        <v>1990</v>
      </c>
      <c r="L42" s="19">
        <v>175</v>
      </c>
      <c r="M42" s="19">
        <v>609</v>
      </c>
      <c r="N42" s="19">
        <v>280</v>
      </c>
      <c r="O42" s="19">
        <v>129</v>
      </c>
      <c r="P42" s="19">
        <v>129</v>
      </c>
      <c r="Q42" s="20">
        <v>9804</v>
      </c>
      <c r="R42" s="20">
        <v>22831</v>
      </c>
      <c r="S42" s="19">
        <v>76</v>
      </c>
      <c r="T42" s="21">
        <v>4.58E-2</v>
      </c>
      <c r="U42" s="21">
        <v>6.4799999999999996E-2</v>
      </c>
      <c r="V42" s="20">
        <v>176.98</v>
      </c>
      <c r="W42" s="20">
        <v>9.1</v>
      </c>
      <c r="X42" s="22">
        <v>0.43</v>
      </c>
      <c r="Y42" s="21">
        <v>0.27139999999999997</v>
      </c>
      <c r="Z42" s="19"/>
      <c r="AA42" s="19">
        <v>88</v>
      </c>
      <c r="AB42" s="23">
        <v>4.0999999999999996</v>
      </c>
    </row>
    <row r="43" spans="1:28" ht="18" customHeight="1" x14ac:dyDescent="0.2">
      <c r="A43" s="19" t="s">
        <v>164</v>
      </c>
      <c r="B43" s="19" t="s">
        <v>152</v>
      </c>
      <c r="C43" s="19" t="s">
        <v>21</v>
      </c>
      <c r="D43" s="19" t="s">
        <v>102</v>
      </c>
      <c r="E43" s="19" t="s">
        <v>114</v>
      </c>
      <c r="F43" s="19" t="s">
        <v>123</v>
      </c>
      <c r="G43" s="19" t="s">
        <v>100</v>
      </c>
      <c r="H43" s="19" t="s">
        <v>58</v>
      </c>
      <c r="I43" s="19">
        <v>258779</v>
      </c>
      <c r="J43" s="19">
        <v>16921</v>
      </c>
      <c r="K43" s="19">
        <v>12723</v>
      </c>
      <c r="L43" s="19">
        <v>2506</v>
      </c>
      <c r="M43" s="19">
        <v>3678</v>
      </c>
      <c r="N43" s="19">
        <v>1980</v>
      </c>
      <c r="O43" s="19">
        <v>482</v>
      </c>
      <c r="P43" s="19">
        <v>482</v>
      </c>
      <c r="Q43" s="20">
        <v>66516</v>
      </c>
      <c r="R43" s="20">
        <v>0</v>
      </c>
      <c r="S43" s="19">
        <v>138</v>
      </c>
      <c r="T43" s="21">
        <v>6.54E-2</v>
      </c>
      <c r="U43" s="21">
        <v>3.7900000000000003E-2</v>
      </c>
      <c r="V43" s="20">
        <v>0</v>
      </c>
      <c r="W43" s="20">
        <v>0</v>
      </c>
      <c r="X43" s="22">
        <v>0</v>
      </c>
      <c r="Y43" s="21">
        <v>0.5323</v>
      </c>
      <c r="Z43" s="19"/>
      <c r="AA43" s="19">
        <v>87</v>
      </c>
      <c r="AB43" s="23">
        <v>4.8</v>
      </c>
    </row>
    <row r="44" spans="1:28" ht="18" customHeight="1" x14ac:dyDescent="0.2">
      <c r="A44" s="19" t="s">
        <v>165</v>
      </c>
      <c r="B44" s="19" t="s">
        <v>152</v>
      </c>
      <c r="C44" s="19" t="s">
        <v>18</v>
      </c>
      <c r="D44" s="19" t="s">
        <v>102</v>
      </c>
      <c r="E44" s="19" t="s">
        <v>114</v>
      </c>
      <c r="F44" s="19" t="s">
        <v>166</v>
      </c>
      <c r="G44" s="19" t="s">
        <v>97</v>
      </c>
      <c r="H44" s="19" t="s">
        <v>57</v>
      </c>
      <c r="I44" s="19">
        <v>18469</v>
      </c>
      <c r="J44" s="19">
        <v>1331</v>
      </c>
      <c r="K44" s="19">
        <v>1379</v>
      </c>
      <c r="L44" s="19">
        <v>302</v>
      </c>
      <c r="M44" s="19">
        <v>308</v>
      </c>
      <c r="N44" s="19">
        <v>144</v>
      </c>
      <c r="O44" s="19">
        <v>108</v>
      </c>
      <c r="P44" s="19">
        <v>108</v>
      </c>
      <c r="Q44" s="20">
        <v>14688</v>
      </c>
      <c r="R44" s="20">
        <v>12532</v>
      </c>
      <c r="S44" s="19">
        <v>136</v>
      </c>
      <c r="T44" s="21">
        <v>7.2099999999999997E-2</v>
      </c>
      <c r="U44" s="21">
        <v>7.8299999999999995E-2</v>
      </c>
      <c r="V44" s="20">
        <v>116.04</v>
      </c>
      <c r="W44" s="20">
        <v>9.42</v>
      </c>
      <c r="X44" s="22">
        <v>1.17</v>
      </c>
      <c r="Y44" s="21">
        <v>0.47799999999999998</v>
      </c>
      <c r="Z44" s="19"/>
      <c r="AA44" s="19">
        <v>74</v>
      </c>
      <c r="AB44" s="23">
        <v>3.8</v>
      </c>
    </row>
    <row r="45" spans="1:28" ht="18" customHeight="1" x14ac:dyDescent="0.2">
      <c r="A45" s="19" t="s">
        <v>167</v>
      </c>
      <c r="B45" s="19" t="s">
        <v>152</v>
      </c>
      <c r="C45" s="19" t="s">
        <v>17</v>
      </c>
      <c r="D45" s="19" t="s">
        <v>90</v>
      </c>
      <c r="E45" s="19" t="s">
        <v>116</v>
      </c>
      <c r="F45" s="19" t="s">
        <v>144</v>
      </c>
      <c r="G45" s="19" t="s">
        <v>118</v>
      </c>
      <c r="H45" s="19" t="s">
        <v>57</v>
      </c>
      <c r="I45" s="19">
        <v>70327</v>
      </c>
      <c r="J45" s="19">
        <v>5526</v>
      </c>
      <c r="K45" s="19">
        <v>4651</v>
      </c>
      <c r="L45" s="19">
        <v>792</v>
      </c>
      <c r="M45" s="19">
        <v>1303</v>
      </c>
      <c r="N45" s="19">
        <v>747</v>
      </c>
      <c r="O45" s="19">
        <v>190</v>
      </c>
      <c r="P45" s="19">
        <v>190</v>
      </c>
      <c r="Q45" s="20">
        <v>26600</v>
      </c>
      <c r="R45" s="20">
        <v>0</v>
      </c>
      <c r="S45" s="19">
        <v>140</v>
      </c>
      <c r="T45" s="21">
        <v>7.8600000000000003E-2</v>
      </c>
      <c r="U45" s="21">
        <v>4.0899999999999999E-2</v>
      </c>
      <c r="V45" s="20">
        <v>0</v>
      </c>
      <c r="W45" s="20">
        <v>0</v>
      </c>
      <c r="X45" s="22">
        <v>0</v>
      </c>
      <c r="Y45" s="21">
        <v>0.50429999999999997</v>
      </c>
      <c r="Z45" s="19">
        <v>15</v>
      </c>
      <c r="AA45" s="19">
        <v>66</v>
      </c>
      <c r="AB45" s="23">
        <v>4.4000000000000004</v>
      </c>
    </row>
    <row r="46" spans="1:28" ht="18" customHeight="1" x14ac:dyDescent="0.2">
      <c r="A46" s="19" t="s">
        <v>168</v>
      </c>
      <c r="B46" s="19" t="s">
        <v>152</v>
      </c>
      <c r="C46" s="19" t="s">
        <v>19</v>
      </c>
      <c r="D46" s="19" t="s">
        <v>85</v>
      </c>
      <c r="E46" s="19" t="s">
        <v>116</v>
      </c>
      <c r="F46" s="19" t="s">
        <v>130</v>
      </c>
      <c r="G46" s="19" t="s">
        <v>100</v>
      </c>
      <c r="H46" s="19" t="s">
        <v>57</v>
      </c>
      <c r="I46" s="19">
        <v>229167</v>
      </c>
      <c r="J46" s="19">
        <v>7040</v>
      </c>
      <c r="K46" s="19">
        <v>5751</v>
      </c>
      <c r="L46" s="19">
        <v>510</v>
      </c>
      <c r="M46" s="19">
        <v>723</v>
      </c>
      <c r="N46" s="19">
        <v>482</v>
      </c>
      <c r="O46" s="19">
        <v>114</v>
      </c>
      <c r="P46" s="19">
        <v>114</v>
      </c>
      <c r="Q46" s="20">
        <v>18696</v>
      </c>
      <c r="R46" s="20">
        <v>30418</v>
      </c>
      <c r="S46" s="19">
        <v>164</v>
      </c>
      <c r="T46" s="21">
        <v>3.0700000000000002E-2</v>
      </c>
      <c r="U46" s="21">
        <v>1.9800000000000002E-2</v>
      </c>
      <c r="V46" s="20">
        <v>266.82</v>
      </c>
      <c r="W46" s="20">
        <v>4.32</v>
      </c>
      <c r="X46" s="22">
        <v>0.61</v>
      </c>
      <c r="Y46" s="21">
        <v>0.64119999999999999</v>
      </c>
      <c r="Z46" s="19"/>
      <c r="AA46" s="19">
        <v>83</v>
      </c>
      <c r="AB46" s="23">
        <v>4</v>
      </c>
    </row>
    <row r="47" spans="1:28" ht="18" customHeight="1" x14ac:dyDescent="0.2">
      <c r="A47" s="19" t="s">
        <v>169</v>
      </c>
      <c r="B47" s="19" t="s">
        <v>152</v>
      </c>
      <c r="C47" s="19" t="s">
        <v>19</v>
      </c>
      <c r="D47" s="19" t="s">
        <v>90</v>
      </c>
      <c r="E47" s="19" t="s">
        <v>114</v>
      </c>
      <c r="F47" s="19" t="s">
        <v>130</v>
      </c>
      <c r="G47" s="19" t="s">
        <v>97</v>
      </c>
      <c r="H47" s="19" t="s">
        <v>58</v>
      </c>
      <c r="I47" s="19">
        <v>151473</v>
      </c>
      <c r="J47" s="19">
        <v>9298</v>
      </c>
      <c r="K47" s="19">
        <v>8139</v>
      </c>
      <c r="L47" s="19">
        <v>738</v>
      </c>
      <c r="M47" s="19">
        <v>2351</v>
      </c>
      <c r="N47" s="19">
        <v>1365</v>
      </c>
      <c r="O47" s="19">
        <v>363</v>
      </c>
      <c r="P47" s="19">
        <v>363</v>
      </c>
      <c r="Q47" s="20">
        <v>38115</v>
      </c>
      <c r="R47" s="20">
        <v>20349</v>
      </c>
      <c r="S47" s="19">
        <v>105</v>
      </c>
      <c r="T47" s="21">
        <v>6.1400000000000003E-2</v>
      </c>
      <c r="U47" s="21">
        <v>4.4600000000000001E-2</v>
      </c>
      <c r="V47" s="20">
        <v>56.06</v>
      </c>
      <c r="W47" s="20">
        <v>2.19</v>
      </c>
      <c r="X47" s="22">
        <v>1.87</v>
      </c>
      <c r="Y47" s="21">
        <v>0.45610000000000001</v>
      </c>
      <c r="Z47" s="19"/>
      <c r="AA47" s="19">
        <v>74</v>
      </c>
      <c r="AB47" s="23">
        <v>4.8</v>
      </c>
    </row>
    <row r="48" spans="1:28" ht="18" customHeight="1" x14ac:dyDescent="0.2">
      <c r="A48" s="19" t="s">
        <v>170</v>
      </c>
      <c r="B48" s="19" t="s">
        <v>152</v>
      </c>
      <c r="C48" s="19" t="s">
        <v>21</v>
      </c>
      <c r="D48" s="19" t="s">
        <v>102</v>
      </c>
      <c r="E48" s="19" t="s">
        <v>91</v>
      </c>
      <c r="F48" s="19" t="s">
        <v>96</v>
      </c>
      <c r="G48" s="19" t="s">
        <v>93</v>
      </c>
      <c r="H48" s="19" t="s">
        <v>57</v>
      </c>
      <c r="I48" s="19">
        <v>231647</v>
      </c>
      <c r="J48" s="19">
        <v>3629</v>
      </c>
      <c r="K48" s="19">
        <v>2776</v>
      </c>
      <c r="L48" s="19">
        <v>294</v>
      </c>
      <c r="M48" s="19">
        <v>346</v>
      </c>
      <c r="N48" s="19">
        <v>136</v>
      </c>
      <c r="O48" s="19">
        <v>163</v>
      </c>
      <c r="P48" s="19">
        <v>136</v>
      </c>
      <c r="Q48" s="20">
        <v>11410</v>
      </c>
      <c r="R48" s="20">
        <v>0</v>
      </c>
      <c r="S48" s="19">
        <v>70</v>
      </c>
      <c r="T48" s="21">
        <v>1.5699999999999999E-2</v>
      </c>
      <c r="U48" s="21">
        <v>5.8700000000000002E-2</v>
      </c>
      <c r="V48" s="20">
        <v>0</v>
      </c>
      <c r="W48" s="20">
        <v>0</v>
      </c>
      <c r="X48" s="22">
        <v>0</v>
      </c>
      <c r="Y48" s="21">
        <v>0.53310000000000002</v>
      </c>
      <c r="Z48" s="19"/>
      <c r="AA48" s="19">
        <v>88</v>
      </c>
      <c r="AB48" s="23">
        <v>3.9</v>
      </c>
    </row>
    <row r="49" spans="1:28" ht="18" customHeight="1" x14ac:dyDescent="0.2">
      <c r="A49" s="19" t="s">
        <v>171</v>
      </c>
      <c r="B49" s="19" t="s">
        <v>152</v>
      </c>
      <c r="C49" s="19" t="s">
        <v>18</v>
      </c>
      <c r="D49" s="19" t="s">
        <v>102</v>
      </c>
      <c r="E49" s="19" t="s">
        <v>95</v>
      </c>
      <c r="F49" s="19" t="s">
        <v>166</v>
      </c>
      <c r="G49" s="19" t="s">
        <v>118</v>
      </c>
      <c r="H49" s="19" t="s">
        <v>58</v>
      </c>
      <c r="I49" s="19">
        <v>51022</v>
      </c>
      <c r="J49" s="19">
        <v>3799</v>
      </c>
      <c r="K49" s="19">
        <v>3430</v>
      </c>
      <c r="L49" s="19">
        <v>440</v>
      </c>
      <c r="M49" s="19">
        <v>889</v>
      </c>
      <c r="N49" s="19">
        <v>444</v>
      </c>
      <c r="O49" s="19">
        <v>201</v>
      </c>
      <c r="P49" s="19">
        <v>201</v>
      </c>
      <c r="Q49" s="20">
        <v>27738</v>
      </c>
      <c r="R49" s="20">
        <v>21110</v>
      </c>
      <c r="S49" s="19">
        <v>138</v>
      </c>
      <c r="T49" s="21">
        <v>7.4499999999999997E-2</v>
      </c>
      <c r="U49" s="21">
        <v>5.8599999999999999E-2</v>
      </c>
      <c r="V49" s="20">
        <v>105.02</v>
      </c>
      <c r="W49" s="20">
        <v>5.56</v>
      </c>
      <c r="X49" s="22">
        <v>1.31</v>
      </c>
      <c r="Y49" s="21">
        <v>0.4249</v>
      </c>
      <c r="Z49" s="19"/>
      <c r="AA49" s="19">
        <v>74</v>
      </c>
      <c r="AB49" s="23">
        <v>4.5999999999999996</v>
      </c>
    </row>
    <row r="50" spans="1:28" ht="18" customHeight="1" x14ac:dyDescent="0.2">
      <c r="A50" s="19" t="s">
        <v>172</v>
      </c>
      <c r="B50" s="19" t="s">
        <v>152</v>
      </c>
      <c r="C50" s="19" t="s">
        <v>20</v>
      </c>
      <c r="D50" s="19" t="s">
        <v>102</v>
      </c>
      <c r="E50" s="19" t="s">
        <v>91</v>
      </c>
      <c r="F50" s="19" t="s">
        <v>132</v>
      </c>
      <c r="G50" s="19" t="s">
        <v>118</v>
      </c>
      <c r="H50" s="19" t="s">
        <v>58</v>
      </c>
      <c r="I50" s="19">
        <v>163673</v>
      </c>
      <c r="J50" s="19">
        <v>3093</v>
      </c>
      <c r="K50" s="19">
        <v>2667</v>
      </c>
      <c r="L50" s="19">
        <v>432</v>
      </c>
      <c r="M50" s="19">
        <v>756</v>
      </c>
      <c r="N50" s="19">
        <v>317</v>
      </c>
      <c r="O50" s="19">
        <v>187</v>
      </c>
      <c r="P50" s="19">
        <v>187</v>
      </c>
      <c r="Q50" s="20">
        <v>9163</v>
      </c>
      <c r="R50" s="20">
        <v>25467</v>
      </c>
      <c r="S50" s="19">
        <v>49</v>
      </c>
      <c r="T50" s="21">
        <v>1.89E-2</v>
      </c>
      <c r="U50" s="21">
        <v>7.0099999999999996E-2</v>
      </c>
      <c r="V50" s="20">
        <v>136.19</v>
      </c>
      <c r="W50" s="20">
        <v>8.23</v>
      </c>
      <c r="X50" s="22">
        <v>0.36</v>
      </c>
      <c r="Y50" s="21">
        <v>0.57430000000000003</v>
      </c>
      <c r="Z50" s="19"/>
      <c r="AA50" s="19">
        <v>94</v>
      </c>
      <c r="AB50" s="23">
        <v>4</v>
      </c>
    </row>
    <row r="51" spans="1:28" ht="18" customHeight="1" x14ac:dyDescent="0.2">
      <c r="A51" s="19" t="s">
        <v>173</v>
      </c>
      <c r="B51" s="19" t="s">
        <v>152</v>
      </c>
      <c r="C51" s="19" t="s">
        <v>17</v>
      </c>
      <c r="D51" s="19" t="s">
        <v>90</v>
      </c>
      <c r="E51" s="19" t="s">
        <v>91</v>
      </c>
      <c r="F51" s="19" t="s">
        <v>92</v>
      </c>
      <c r="G51" s="19" t="s">
        <v>100</v>
      </c>
      <c r="H51" s="19" t="s">
        <v>58</v>
      </c>
      <c r="I51" s="19">
        <v>266024</v>
      </c>
      <c r="J51" s="19">
        <v>11107</v>
      </c>
      <c r="K51" s="19">
        <v>10329</v>
      </c>
      <c r="L51" s="19">
        <v>1597</v>
      </c>
      <c r="M51" s="19">
        <v>2057</v>
      </c>
      <c r="N51" s="19">
        <v>1306</v>
      </c>
      <c r="O51" s="19">
        <v>361</v>
      </c>
      <c r="P51" s="19">
        <v>361</v>
      </c>
      <c r="Q51" s="20">
        <v>44042</v>
      </c>
      <c r="R51" s="20">
        <v>0</v>
      </c>
      <c r="S51" s="19">
        <v>122</v>
      </c>
      <c r="T51" s="21">
        <v>4.1799999999999997E-2</v>
      </c>
      <c r="U51" s="21">
        <v>3.5000000000000003E-2</v>
      </c>
      <c r="V51" s="20">
        <v>0</v>
      </c>
      <c r="W51" s="20">
        <v>0</v>
      </c>
      <c r="X51" s="22">
        <v>0</v>
      </c>
      <c r="Y51" s="21">
        <v>0.34939999999999999</v>
      </c>
      <c r="Z51" s="19">
        <v>23</v>
      </c>
      <c r="AA51" s="19">
        <v>95</v>
      </c>
      <c r="AB51" s="23">
        <v>3.7</v>
      </c>
    </row>
    <row r="52" spans="1:28" ht="18" customHeight="1" x14ac:dyDescent="0.2">
      <c r="A52" s="19" t="s">
        <v>174</v>
      </c>
      <c r="B52" s="19" t="s">
        <v>152</v>
      </c>
      <c r="C52" s="19" t="s">
        <v>18</v>
      </c>
      <c r="D52" s="19" t="s">
        <v>85</v>
      </c>
      <c r="E52" s="19" t="s">
        <v>95</v>
      </c>
      <c r="F52" s="19" t="s">
        <v>147</v>
      </c>
      <c r="G52" s="19" t="s">
        <v>121</v>
      </c>
      <c r="H52" s="19" t="s">
        <v>57</v>
      </c>
      <c r="I52" s="19">
        <v>177776</v>
      </c>
      <c r="J52" s="19">
        <v>5490</v>
      </c>
      <c r="K52" s="19">
        <v>5532</v>
      </c>
      <c r="L52" s="19">
        <v>845</v>
      </c>
      <c r="M52" s="19">
        <v>1085</v>
      </c>
      <c r="N52" s="19">
        <v>576</v>
      </c>
      <c r="O52" s="19">
        <v>289</v>
      </c>
      <c r="P52" s="19">
        <v>289</v>
      </c>
      <c r="Q52" s="20">
        <v>35836</v>
      </c>
      <c r="R52" s="20">
        <v>26896</v>
      </c>
      <c r="S52" s="19">
        <v>124</v>
      </c>
      <c r="T52" s="21">
        <v>3.09E-2</v>
      </c>
      <c r="U52" s="21">
        <v>5.2200000000000003E-2</v>
      </c>
      <c r="V52" s="20">
        <v>93.07</v>
      </c>
      <c r="W52" s="20">
        <v>4.9000000000000004</v>
      </c>
      <c r="X52" s="22">
        <v>1.33</v>
      </c>
      <c r="Y52" s="21">
        <v>0.2611</v>
      </c>
      <c r="Z52" s="19"/>
      <c r="AA52" s="19">
        <v>66</v>
      </c>
      <c r="AB52" s="23">
        <v>4.7</v>
      </c>
    </row>
    <row r="53" spans="1:28" ht="18" customHeight="1" x14ac:dyDescent="0.2">
      <c r="A53" s="19" t="s">
        <v>175</v>
      </c>
      <c r="B53" s="19" t="s">
        <v>152</v>
      </c>
      <c r="C53" s="19" t="s">
        <v>18</v>
      </c>
      <c r="D53" s="19" t="s">
        <v>102</v>
      </c>
      <c r="E53" s="19" t="s">
        <v>107</v>
      </c>
      <c r="F53" s="19" t="s">
        <v>176</v>
      </c>
      <c r="G53" s="19" t="s">
        <v>93</v>
      </c>
      <c r="H53" s="19" t="s">
        <v>57</v>
      </c>
      <c r="I53" s="19">
        <v>166238</v>
      </c>
      <c r="J53" s="19">
        <v>9484</v>
      </c>
      <c r="K53" s="19">
        <v>8215</v>
      </c>
      <c r="L53" s="19">
        <v>1426</v>
      </c>
      <c r="M53" s="19">
        <v>2620</v>
      </c>
      <c r="N53" s="19">
        <v>1714</v>
      </c>
      <c r="O53" s="19">
        <v>276</v>
      </c>
      <c r="P53" s="19">
        <v>276</v>
      </c>
      <c r="Q53" s="20">
        <v>14352</v>
      </c>
      <c r="R53" s="20">
        <v>27883</v>
      </c>
      <c r="S53" s="19">
        <v>52</v>
      </c>
      <c r="T53" s="21">
        <v>5.7099999999999998E-2</v>
      </c>
      <c r="U53" s="21">
        <v>3.3599999999999998E-2</v>
      </c>
      <c r="V53" s="20">
        <v>101.03</v>
      </c>
      <c r="W53" s="20">
        <v>2.94</v>
      </c>
      <c r="X53" s="22">
        <v>0.51</v>
      </c>
      <c r="Y53" s="21">
        <v>0.3896</v>
      </c>
      <c r="Z53" s="19"/>
      <c r="AA53" s="19">
        <v>85</v>
      </c>
      <c r="AB53" s="23">
        <v>3.8</v>
      </c>
    </row>
    <row r="54" spans="1:28" ht="18" customHeight="1" x14ac:dyDescent="0.2">
      <c r="A54" s="19" t="s">
        <v>177</v>
      </c>
      <c r="B54" s="19" t="s">
        <v>152</v>
      </c>
      <c r="C54" s="19" t="s">
        <v>20</v>
      </c>
      <c r="D54" s="19" t="s">
        <v>102</v>
      </c>
      <c r="E54" s="19" t="s">
        <v>91</v>
      </c>
      <c r="F54" s="19" t="s">
        <v>149</v>
      </c>
      <c r="G54" s="19" t="s">
        <v>88</v>
      </c>
      <c r="H54" s="19" t="s">
        <v>58</v>
      </c>
      <c r="I54" s="19">
        <v>22940</v>
      </c>
      <c r="J54" s="19">
        <v>1134</v>
      </c>
      <c r="K54" s="19">
        <v>860</v>
      </c>
      <c r="L54" s="19">
        <v>98</v>
      </c>
      <c r="M54" s="19">
        <v>121</v>
      </c>
      <c r="N54" s="19">
        <v>52</v>
      </c>
      <c r="O54" s="19">
        <v>58</v>
      </c>
      <c r="P54" s="19">
        <v>52</v>
      </c>
      <c r="Q54" s="20">
        <v>4466</v>
      </c>
      <c r="R54" s="20">
        <v>33914</v>
      </c>
      <c r="S54" s="19">
        <v>77</v>
      </c>
      <c r="T54" s="21">
        <v>4.9399999999999999E-2</v>
      </c>
      <c r="U54" s="21">
        <v>6.7400000000000002E-2</v>
      </c>
      <c r="V54" s="20">
        <v>584.72</v>
      </c>
      <c r="W54" s="20">
        <v>29.91</v>
      </c>
      <c r="X54" s="22">
        <v>0.13</v>
      </c>
      <c r="Y54" s="21">
        <v>0.4753</v>
      </c>
      <c r="Z54" s="19"/>
      <c r="AA54" s="19">
        <v>85</v>
      </c>
      <c r="AB54" s="23">
        <v>4.2</v>
      </c>
    </row>
    <row r="55" spans="1:28" ht="18" customHeight="1" x14ac:dyDescent="0.2">
      <c r="A55" s="19" t="s">
        <v>178</v>
      </c>
      <c r="B55" s="19" t="s">
        <v>152</v>
      </c>
      <c r="C55" s="19" t="s">
        <v>18</v>
      </c>
      <c r="D55" s="19" t="s">
        <v>90</v>
      </c>
      <c r="E55" s="19" t="s">
        <v>116</v>
      </c>
      <c r="F55" s="19" t="s">
        <v>176</v>
      </c>
      <c r="G55" s="19" t="s">
        <v>97</v>
      </c>
      <c r="H55" s="19" t="s">
        <v>57</v>
      </c>
      <c r="I55" s="19">
        <v>181570</v>
      </c>
      <c r="J55" s="19">
        <v>10773</v>
      </c>
      <c r="K55" s="19">
        <v>9348</v>
      </c>
      <c r="L55" s="19">
        <v>1447</v>
      </c>
      <c r="M55" s="19">
        <v>2101</v>
      </c>
      <c r="N55" s="19">
        <v>810</v>
      </c>
      <c r="O55" s="19">
        <v>577</v>
      </c>
      <c r="P55" s="19">
        <v>577</v>
      </c>
      <c r="Q55" s="20">
        <v>61739</v>
      </c>
      <c r="R55" s="20">
        <v>20163</v>
      </c>
      <c r="S55" s="19">
        <v>107</v>
      </c>
      <c r="T55" s="21">
        <v>5.9299999999999999E-2</v>
      </c>
      <c r="U55" s="21">
        <v>6.1699999999999998E-2</v>
      </c>
      <c r="V55" s="20">
        <v>34.94</v>
      </c>
      <c r="W55" s="20">
        <v>1.87</v>
      </c>
      <c r="X55" s="22">
        <v>3.06</v>
      </c>
      <c r="Y55" s="21">
        <v>0.4667</v>
      </c>
      <c r="Z55" s="19"/>
      <c r="AA55" s="19">
        <v>92</v>
      </c>
      <c r="AB55" s="23">
        <v>4</v>
      </c>
    </row>
    <row r="56" spans="1:28" ht="18" customHeight="1" x14ac:dyDescent="0.2">
      <c r="A56" s="19" t="s">
        <v>179</v>
      </c>
      <c r="B56" s="19" t="s">
        <v>152</v>
      </c>
      <c r="C56" s="19" t="s">
        <v>22</v>
      </c>
      <c r="D56" s="19" t="s">
        <v>90</v>
      </c>
      <c r="E56" s="19" t="s">
        <v>107</v>
      </c>
      <c r="F56" s="19" t="s">
        <v>112</v>
      </c>
      <c r="G56" s="19" t="s">
        <v>88</v>
      </c>
      <c r="H56" s="19" t="s">
        <v>57</v>
      </c>
      <c r="I56" s="19">
        <v>210903</v>
      </c>
      <c r="J56" s="19">
        <v>8664</v>
      </c>
      <c r="K56" s="19">
        <v>8860</v>
      </c>
      <c r="L56" s="19">
        <v>843</v>
      </c>
      <c r="M56" s="19">
        <v>1220</v>
      </c>
      <c r="N56" s="19">
        <v>778</v>
      </c>
      <c r="O56" s="19">
        <v>182</v>
      </c>
      <c r="P56" s="19">
        <v>182</v>
      </c>
      <c r="Q56" s="20">
        <v>25116</v>
      </c>
      <c r="R56" s="20">
        <v>0</v>
      </c>
      <c r="S56" s="19">
        <v>138</v>
      </c>
      <c r="T56" s="21">
        <v>4.1099999999999998E-2</v>
      </c>
      <c r="U56" s="21">
        <v>2.0500000000000001E-2</v>
      </c>
      <c r="V56" s="20">
        <v>0</v>
      </c>
      <c r="W56" s="20">
        <v>0</v>
      </c>
      <c r="X56" s="22">
        <v>0</v>
      </c>
      <c r="Y56" s="21">
        <v>0.4012</v>
      </c>
      <c r="Z56" s="19"/>
      <c r="AA56" s="19">
        <v>70</v>
      </c>
      <c r="AB56" s="23">
        <v>3.6</v>
      </c>
    </row>
    <row r="57" spans="1:28" ht="18" customHeight="1" x14ac:dyDescent="0.2">
      <c r="A57" s="19" t="s">
        <v>180</v>
      </c>
      <c r="B57" s="19" t="s">
        <v>152</v>
      </c>
      <c r="C57" s="19" t="s">
        <v>18</v>
      </c>
      <c r="D57" s="19" t="s">
        <v>102</v>
      </c>
      <c r="E57" s="19" t="s">
        <v>114</v>
      </c>
      <c r="F57" s="19" t="s">
        <v>166</v>
      </c>
      <c r="G57" s="19" t="s">
        <v>118</v>
      </c>
      <c r="H57" s="19" t="s">
        <v>57</v>
      </c>
      <c r="I57" s="19">
        <v>173795</v>
      </c>
      <c r="J57" s="19">
        <v>6586</v>
      </c>
      <c r="K57" s="19">
        <v>5732</v>
      </c>
      <c r="L57" s="19">
        <v>494</v>
      </c>
      <c r="M57" s="19">
        <v>967</v>
      </c>
      <c r="N57" s="19">
        <v>660</v>
      </c>
      <c r="O57" s="19">
        <v>328</v>
      </c>
      <c r="P57" s="19">
        <v>328</v>
      </c>
      <c r="Q57" s="20">
        <v>50512</v>
      </c>
      <c r="R57" s="20">
        <v>18616</v>
      </c>
      <c r="S57" s="19">
        <v>154</v>
      </c>
      <c r="T57" s="21">
        <v>3.7900000000000003E-2</v>
      </c>
      <c r="U57" s="21">
        <v>5.7200000000000001E-2</v>
      </c>
      <c r="V57" s="20">
        <v>56.76</v>
      </c>
      <c r="W57" s="20">
        <v>2.83</v>
      </c>
      <c r="X57" s="22">
        <v>2.71</v>
      </c>
      <c r="Y57" s="21">
        <v>0.18229999999999999</v>
      </c>
      <c r="Z57" s="19"/>
      <c r="AA57" s="19">
        <v>97</v>
      </c>
      <c r="AB57" s="23">
        <v>4.0999999999999996</v>
      </c>
    </row>
    <row r="58" spans="1:28" ht="18" customHeight="1" x14ac:dyDescent="0.2">
      <c r="A58" s="19" t="s">
        <v>181</v>
      </c>
      <c r="B58" s="19" t="s">
        <v>152</v>
      </c>
      <c r="C58" s="19" t="s">
        <v>18</v>
      </c>
      <c r="D58" s="19" t="s">
        <v>90</v>
      </c>
      <c r="E58" s="19" t="s">
        <v>116</v>
      </c>
      <c r="F58" s="19" t="s">
        <v>166</v>
      </c>
      <c r="G58" s="19" t="s">
        <v>121</v>
      </c>
      <c r="H58" s="19" t="s">
        <v>58</v>
      </c>
      <c r="I58" s="19">
        <v>260141</v>
      </c>
      <c r="J58" s="19">
        <v>18576</v>
      </c>
      <c r="K58" s="19">
        <v>14052</v>
      </c>
      <c r="L58" s="19">
        <v>2191</v>
      </c>
      <c r="M58" s="19">
        <v>4167</v>
      </c>
      <c r="N58" s="19">
        <v>2038</v>
      </c>
      <c r="O58" s="19">
        <v>734</v>
      </c>
      <c r="P58" s="19">
        <v>734</v>
      </c>
      <c r="Q58" s="20">
        <v>83676</v>
      </c>
      <c r="R58" s="20">
        <v>37855</v>
      </c>
      <c r="S58" s="19">
        <v>114</v>
      </c>
      <c r="T58" s="21">
        <v>7.1400000000000005E-2</v>
      </c>
      <c r="U58" s="21">
        <v>5.2200000000000003E-2</v>
      </c>
      <c r="V58" s="20">
        <v>51.57</v>
      </c>
      <c r="W58" s="20">
        <v>2.04</v>
      </c>
      <c r="X58" s="22">
        <v>2.21</v>
      </c>
      <c r="Y58" s="21">
        <v>0.22220000000000001</v>
      </c>
      <c r="Z58" s="19"/>
      <c r="AA58" s="19">
        <v>70</v>
      </c>
      <c r="AB58" s="23">
        <v>4</v>
      </c>
    </row>
    <row r="59" spans="1:28" ht="18" customHeight="1" x14ac:dyDescent="0.2">
      <c r="A59" s="19" t="s">
        <v>182</v>
      </c>
      <c r="B59" s="19" t="s">
        <v>152</v>
      </c>
      <c r="C59" s="19" t="s">
        <v>18</v>
      </c>
      <c r="D59" s="19" t="s">
        <v>85</v>
      </c>
      <c r="E59" s="19" t="s">
        <v>107</v>
      </c>
      <c r="F59" s="19" t="s">
        <v>166</v>
      </c>
      <c r="G59" s="19" t="s">
        <v>118</v>
      </c>
      <c r="H59" s="19" t="s">
        <v>58</v>
      </c>
      <c r="I59" s="19">
        <v>66900</v>
      </c>
      <c r="J59" s="19">
        <v>1441</v>
      </c>
      <c r="K59" s="19">
        <v>1364</v>
      </c>
      <c r="L59" s="19">
        <v>170</v>
      </c>
      <c r="M59" s="19">
        <v>175</v>
      </c>
      <c r="N59" s="19">
        <v>89</v>
      </c>
      <c r="O59" s="19">
        <v>62</v>
      </c>
      <c r="P59" s="19">
        <v>62</v>
      </c>
      <c r="Q59" s="20">
        <v>8184</v>
      </c>
      <c r="R59" s="20">
        <v>18363</v>
      </c>
      <c r="S59" s="19">
        <v>132</v>
      </c>
      <c r="T59" s="21">
        <v>2.1499999999999998E-2</v>
      </c>
      <c r="U59" s="21">
        <v>4.5499999999999999E-2</v>
      </c>
      <c r="V59" s="20">
        <v>296.18</v>
      </c>
      <c r="W59" s="20">
        <v>12.74</v>
      </c>
      <c r="X59" s="22">
        <v>0.45</v>
      </c>
      <c r="Y59" s="21">
        <v>0.30209999999999998</v>
      </c>
      <c r="Z59" s="19"/>
      <c r="AA59" s="19">
        <v>72</v>
      </c>
      <c r="AB59" s="23">
        <v>3.7</v>
      </c>
    </row>
    <row r="60" spans="1:28" ht="18" customHeight="1" x14ac:dyDescent="0.2">
      <c r="A60" s="19" t="s">
        <v>183</v>
      </c>
      <c r="B60" s="19" t="s">
        <v>152</v>
      </c>
      <c r="C60" s="19" t="s">
        <v>18</v>
      </c>
      <c r="D60" s="19" t="s">
        <v>102</v>
      </c>
      <c r="E60" s="19" t="s">
        <v>107</v>
      </c>
      <c r="F60" s="19" t="s">
        <v>176</v>
      </c>
      <c r="G60" s="19" t="s">
        <v>118</v>
      </c>
      <c r="H60" s="19" t="s">
        <v>58</v>
      </c>
      <c r="I60" s="19">
        <v>242351</v>
      </c>
      <c r="J60" s="19">
        <v>8897</v>
      </c>
      <c r="K60" s="19">
        <v>9153</v>
      </c>
      <c r="L60" s="19">
        <v>1284</v>
      </c>
      <c r="M60" s="19">
        <v>1358</v>
      </c>
      <c r="N60" s="19">
        <v>834</v>
      </c>
      <c r="O60" s="19">
        <v>601</v>
      </c>
      <c r="P60" s="19">
        <v>601</v>
      </c>
      <c r="Q60" s="20">
        <v>51085</v>
      </c>
      <c r="R60" s="20">
        <v>24498</v>
      </c>
      <c r="S60" s="19">
        <v>85</v>
      </c>
      <c r="T60" s="21">
        <v>3.6700000000000003E-2</v>
      </c>
      <c r="U60" s="21">
        <v>6.5699999999999995E-2</v>
      </c>
      <c r="V60" s="20">
        <v>40.76</v>
      </c>
      <c r="W60" s="20">
        <v>2.75</v>
      </c>
      <c r="X60" s="22">
        <v>2.09</v>
      </c>
      <c r="Y60" s="21">
        <v>0.2036</v>
      </c>
      <c r="Z60" s="19"/>
      <c r="AA60" s="19">
        <v>72</v>
      </c>
      <c r="AB60" s="23">
        <v>3.8</v>
      </c>
    </row>
    <row r="61" spans="1:28" ht="18" customHeight="1" x14ac:dyDescent="0.2">
      <c r="A61" s="19" t="s">
        <v>184</v>
      </c>
      <c r="B61" s="19" t="s">
        <v>185</v>
      </c>
      <c r="C61" s="19" t="s">
        <v>20</v>
      </c>
      <c r="D61" s="19" t="s">
        <v>85</v>
      </c>
      <c r="E61" s="19" t="s">
        <v>116</v>
      </c>
      <c r="F61" s="19" t="s">
        <v>132</v>
      </c>
      <c r="G61" s="19" t="s">
        <v>118</v>
      </c>
      <c r="H61" s="19" t="s">
        <v>57</v>
      </c>
      <c r="I61" s="19">
        <v>53742</v>
      </c>
      <c r="J61" s="19">
        <v>660</v>
      </c>
      <c r="K61" s="19">
        <v>576</v>
      </c>
      <c r="L61" s="19">
        <v>72</v>
      </c>
      <c r="M61" s="19">
        <v>131</v>
      </c>
      <c r="N61" s="19">
        <v>65</v>
      </c>
      <c r="O61" s="19">
        <v>60</v>
      </c>
      <c r="P61" s="19">
        <v>60</v>
      </c>
      <c r="Q61" s="20">
        <v>7440</v>
      </c>
      <c r="R61" s="20">
        <v>14738</v>
      </c>
      <c r="S61" s="19">
        <v>124</v>
      </c>
      <c r="T61" s="21">
        <v>1.23E-2</v>
      </c>
      <c r="U61" s="21">
        <v>0.1042</v>
      </c>
      <c r="V61" s="20">
        <v>245.63</v>
      </c>
      <c r="W61" s="20">
        <v>22.33</v>
      </c>
      <c r="X61" s="22">
        <v>0.5</v>
      </c>
      <c r="Y61" s="21">
        <v>0.54169999999999996</v>
      </c>
      <c r="Z61" s="19"/>
      <c r="AA61" s="19">
        <v>85</v>
      </c>
      <c r="AB61" s="23">
        <v>3.9</v>
      </c>
    </row>
    <row r="62" spans="1:28" ht="18" customHeight="1" x14ac:dyDescent="0.2">
      <c r="A62" s="19" t="s">
        <v>186</v>
      </c>
      <c r="B62" s="19" t="s">
        <v>185</v>
      </c>
      <c r="C62" s="19" t="s">
        <v>17</v>
      </c>
      <c r="D62" s="19" t="s">
        <v>85</v>
      </c>
      <c r="E62" s="19" t="s">
        <v>86</v>
      </c>
      <c r="F62" s="19" t="s">
        <v>187</v>
      </c>
      <c r="G62" s="19" t="s">
        <v>97</v>
      </c>
      <c r="H62" s="19" t="s">
        <v>57</v>
      </c>
      <c r="I62" s="19">
        <v>93996</v>
      </c>
      <c r="J62" s="19">
        <v>4842</v>
      </c>
      <c r="K62" s="19">
        <v>5057</v>
      </c>
      <c r="L62" s="19">
        <v>950</v>
      </c>
      <c r="M62" s="19">
        <v>971</v>
      </c>
      <c r="N62" s="19">
        <v>372</v>
      </c>
      <c r="O62" s="19">
        <v>173</v>
      </c>
      <c r="P62" s="19">
        <v>173</v>
      </c>
      <c r="Q62" s="20">
        <v>24739</v>
      </c>
      <c r="R62" s="20">
        <v>0</v>
      </c>
      <c r="S62" s="19">
        <v>143</v>
      </c>
      <c r="T62" s="21">
        <v>5.1499999999999997E-2</v>
      </c>
      <c r="U62" s="21">
        <v>3.4200000000000001E-2</v>
      </c>
      <c r="V62" s="20">
        <v>0</v>
      </c>
      <c r="W62" s="20">
        <v>0</v>
      </c>
      <c r="X62" s="22">
        <v>0</v>
      </c>
      <c r="Y62" s="21">
        <v>0.5071</v>
      </c>
      <c r="Z62" s="19">
        <v>7</v>
      </c>
      <c r="AA62" s="19">
        <v>63</v>
      </c>
      <c r="AB62" s="23">
        <v>4</v>
      </c>
    </row>
    <row r="63" spans="1:28" ht="18" customHeight="1" x14ac:dyDescent="0.2">
      <c r="A63" s="19" t="s">
        <v>188</v>
      </c>
      <c r="B63" s="19" t="s">
        <v>185</v>
      </c>
      <c r="C63" s="19" t="s">
        <v>17</v>
      </c>
      <c r="D63" s="19" t="s">
        <v>90</v>
      </c>
      <c r="E63" s="19" t="s">
        <v>86</v>
      </c>
      <c r="F63" s="19" t="s">
        <v>92</v>
      </c>
      <c r="G63" s="19" t="s">
        <v>118</v>
      </c>
      <c r="H63" s="19" t="s">
        <v>58</v>
      </c>
      <c r="I63" s="19">
        <v>143410</v>
      </c>
      <c r="J63" s="19">
        <v>2865</v>
      </c>
      <c r="K63" s="19">
        <v>2307</v>
      </c>
      <c r="L63" s="19">
        <v>215</v>
      </c>
      <c r="M63" s="19">
        <v>497</v>
      </c>
      <c r="N63" s="19">
        <v>293</v>
      </c>
      <c r="O63" s="19">
        <v>59</v>
      </c>
      <c r="P63" s="19">
        <v>59</v>
      </c>
      <c r="Q63" s="20">
        <v>4307</v>
      </c>
      <c r="R63" s="20">
        <v>0</v>
      </c>
      <c r="S63" s="19">
        <v>73</v>
      </c>
      <c r="T63" s="21">
        <v>0.02</v>
      </c>
      <c r="U63" s="21">
        <v>2.5600000000000001E-2</v>
      </c>
      <c r="V63" s="20">
        <v>0</v>
      </c>
      <c r="W63" s="20">
        <v>0</v>
      </c>
      <c r="X63" s="22">
        <v>0</v>
      </c>
      <c r="Y63" s="21">
        <v>0.26619999999999999</v>
      </c>
      <c r="Z63" s="19">
        <v>18</v>
      </c>
      <c r="AA63" s="19">
        <v>81</v>
      </c>
      <c r="AB63" s="23">
        <v>4.8</v>
      </c>
    </row>
    <row r="64" spans="1:28" ht="18" customHeight="1" x14ac:dyDescent="0.2">
      <c r="A64" s="19" t="s">
        <v>189</v>
      </c>
      <c r="B64" s="19" t="s">
        <v>185</v>
      </c>
      <c r="C64" s="19" t="s">
        <v>21</v>
      </c>
      <c r="D64" s="19" t="s">
        <v>90</v>
      </c>
      <c r="E64" s="19" t="s">
        <v>91</v>
      </c>
      <c r="F64" s="19" t="s">
        <v>190</v>
      </c>
      <c r="G64" s="19" t="s">
        <v>100</v>
      </c>
      <c r="H64" s="19" t="s">
        <v>57</v>
      </c>
      <c r="I64" s="19">
        <v>214773</v>
      </c>
      <c r="J64" s="19">
        <v>10124</v>
      </c>
      <c r="K64" s="19">
        <v>8063</v>
      </c>
      <c r="L64" s="19">
        <v>1335</v>
      </c>
      <c r="M64" s="19">
        <v>2639</v>
      </c>
      <c r="N64" s="19">
        <v>1228</v>
      </c>
      <c r="O64" s="19">
        <v>532</v>
      </c>
      <c r="P64" s="19">
        <v>532</v>
      </c>
      <c r="Q64" s="20">
        <v>55860</v>
      </c>
      <c r="R64" s="20">
        <v>0</v>
      </c>
      <c r="S64" s="19">
        <v>105</v>
      </c>
      <c r="T64" s="21">
        <v>4.7100000000000003E-2</v>
      </c>
      <c r="U64" s="21">
        <v>6.6000000000000003E-2</v>
      </c>
      <c r="V64" s="20">
        <v>0</v>
      </c>
      <c r="W64" s="20">
        <v>0</v>
      </c>
      <c r="X64" s="22">
        <v>0</v>
      </c>
      <c r="Y64" s="21">
        <v>0.28649999999999998</v>
      </c>
      <c r="Z64" s="19"/>
      <c r="AA64" s="19">
        <v>97</v>
      </c>
      <c r="AB64" s="23">
        <v>4.8</v>
      </c>
    </row>
    <row r="65" spans="1:28" ht="18" customHeight="1" x14ac:dyDescent="0.2">
      <c r="A65" s="19" t="s">
        <v>191</v>
      </c>
      <c r="B65" s="19" t="s">
        <v>185</v>
      </c>
      <c r="C65" s="19" t="s">
        <v>19</v>
      </c>
      <c r="D65" s="19" t="s">
        <v>90</v>
      </c>
      <c r="E65" s="19" t="s">
        <v>107</v>
      </c>
      <c r="F65" s="19" t="s">
        <v>192</v>
      </c>
      <c r="G65" s="19" t="s">
        <v>88</v>
      </c>
      <c r="H65" s="19" t="s">
        <v>58</v>
      </c>
      <c r="I65" s="19">
        <v>35971</v>
      </c>
      <c r="J65" s="19">
        <v>2127</v>
      </c>
      <c r="K65" s="19">
        <v>1695</v>
      </c>
      <c r="L65" s="19">
        <v>284</v>
      </c>
      <c r="M65" s="19">
        <v>541</v>
      </c>
      <c r="N65" s="19">
        <v>201</v>
      </c>
      <c r="O65" s="19">
        <v>63</v>
      </c>
      <c r="P65" s="19">
        <v>63</v>
      </c>
      <c r="Q65" s="20">
        <v>8190</v>
      </c>
      <c r="R65" s="20">
        <v>18818</v>
      </c>
      <c r="S65" s="19">
        <v>130</v>
      </c>
      <c r="T65" s="21">
        <v>5.91E-2</v>
      </c>
      <c r="U65" s="21">
        <v>3.7199999999999997E-2</v>
      </c>
      <c r="V65" s="20">
        <v>298.7</v>
      </c>
      <c r="W65" s="20">
        <v>8.85</v>
      </c>
      <c r="X65" s="22">
        <v>0.44</v>
      </c>
      <c r="Y65" s="21">
        <v>0.44080000000000003</v>
      </c>
      <c r="Z65" s="19"/>
      <c r="AA65" s="19">
        <v>87</v>
      </c>
      <c r="AB65" s="23">
        <v>4.4000000000000004</v>
      </c>
    </row>
    <row r="66" spans="1:28" ht="18" customHeight="1" x14ac:dyDescent="0.2">
      <c r="A66" s="19" t="s">
        <v>193</v>
      </c>
      <c r="B66" s="19" t="s">
        <v>185</v>
      </c>
      <c r="C66" s="19" t="s">
        <v>17</v>
      </c>
      <c r="D66" s="19" t="s">
        <v>102</v>
      </c>
      <c r="E66" s="19" t="s">
        <v>116</v>
      </c>
      <c r="F66" s="19" t="s">
        <v>92</v>
      </c>
      <c r="G66" s="19" t="s">
        <v>97</v>
      </c>
      <c r="H66" s="19" t="s">
        <v>57</v>
      </c>
      <c r="I66" s="19">
        <v>201784</v>
      </c>
      <c r="J66" s="19">
        <v>8167</v>
      </c>
      <c r="K66" s="19">
        <v>5937</v>
      </c>
      <c r="L66" s="19">
        <v>507</v>
      </c>
      <c r="M66" s="19">
        <v>1145</v>
      </c>
      <c r="N66" s="19">
        <v>736</v>
      </c>
      <c r="O66" s="19">
        <v>288</v>
      </c>
      <c r="P66" s="19">
        <v>288</v>
      </c>
      <c r="Q66" s="20">
        <v>16704</v>
      </c>
      <c r="R66" s="20">
        <v>0</v>
      </c>
      <c r="S66" s="19">
        <v>58</v>
      </c>
      <c r="T66" s="21">
        <v>4.0500000000000001E-2</v>
      </c>
      <c r="U66" s="21">
        <v>4.8500000000000001E-2</v>
      </c>
      <c r="V66" s="20">
        <v>0</v>
      </c>
      <c r="W66" s="20">
        <v>0</v>
      </c>
      <c r="X66" s="22">
        <v>0</v>
      </c>
      <c r="Y66" s="21">
        <v>0.46850000000000003</v>
      </c>
      <c r="Z66" s="19">
        <v>23</v>
      </c>
      <c r="AA66" s="19">
        <v>94</v>
      </c>
      <c r="AB66" s="23">
        <v>3.6</v>
      </c>
    </row>
    <row r="67" spans="1:28" ht="18" customHeight="1" x14ac:dyDescent="0.2">
      <c r="A67" s="19" t="s">
        <v>194</v>
      </c>
      <c r="B67" s="19" t="s">
        <v>185</v>
      </c>
      <c r="C67" s="19" t="s">
        <v>20</v>
      </c>
      <c r="D67" s="19" t="s">
        <v>102</v>
      </c>
      <c r="E67" s="19" t="s">
        <v>107</v>
      </c>
      <c r="F67" s="19" t="s">
        <v>163</v>
      </c>
      <c r="G67" s="19" t="s">
        <v>97</v>
      </c>
      <c r="H67" s="19" t="s">
        <v>57</v>
      </c>
      <c r="I67" s="19">
        <v>66037</v>
      </c>
      <c r="J67" s="19">
        <v>2356</v>
      </c>
      <c r="K67" s="19">
        <v>2221</v>
      </c>
      <c r="L67" s="19">
        <v>212</v>
      </c>
      <c r="M67" s="19">
        <v>640</v>
      </c>
      <c r="N67" s="19">
        <v>456</v>
      </c>
      <c r="O67" s="19">
        <v>130</v>
      </c>
      <c r="P67" s="19">
        <v>130</v>
      </c>
      <c r="Q67" s="20">
        <v>21840</v>
      </c>
      <c r="R67" s="20">
        <v>26036</v>
      </c>
      <c r="S67" s="19">
        <v>168</v>
      </c>
      <c r="T67" s="21">
        <v>3.5700000000000003E-2</v>
      </c>
      <c r="U67" s="21">
        <v>5.8500000000000003E-2</v>
      </c>
      <c r="V67" s="20">
        <v>200.28</v>
      </c>
      <c r="W67" s="20">
        <v>11.05</v>
      </c>
      <c r="X67" s="22">
        <v>0.84</v>
      </c>
      <c r="Y67" s="21">
        <v>0.29820000000000002</v>
      </c>
      <c r="Z67" s="19"/>
      <c r="AA67" s="19">
        <v>62</v>
      </c>
      <c r="AB67" s="23">
        <v>4.7</v>
      </c>
    </row>
    <row r="68" spans="1:28" ht="18" customHeight="1" x14ac:dyDescent="0.2">
      <c r="A68" s="19" t="s">
        <v>195</v>
      </c>
      <c r="B68" s="19" t="s">
        <v>185</v>
      </c>
      <c r="C68" s="19" t="s">
        <v>22</v>
      </c>
      <c r="D68" s="19" t="s">
        <v>102</v>
      </c>
      <c r="E68" s="19" t="s">
        <v>107</v>
      </c>
      <c r="F68" s="19" t="s">
        <v>112</v>
      </c>
      <c r="G68" s="19" t="s">
        <v>88</v>
      </c>
      <c r="H68" s="19" t="s">
        <v>58</v>
      </c>
      <c r="I68" s="19">
        <v>57398</v>
      </c>
      <c r="J68" s="19">
        <v>3392</v>
      </c>
      <c r="K68" s="19">
        <v>2612</v>
      </c>
      <c r="L68" s="19">
        <v>256</v>
      </c>
      <c r="M68" s="19">
        <v>526</v>
      </c>
      <c r="N68" s="19">
        <v>311</v>
      </c>
      <c r="O68" s="19">
        <v>112</v>
      </c>
      <c r="P68" s="19">
        <v>112</v>
      </c>
      <c r="Q68" s="20">
        <v>14224</v>
      </c>
      <c r="R68" s="20">
        <v>0</v>
      </c>
      <c r="S68" s="19">
        <v>127</v>
      </c>
      <c r="T68" s="21">
        <v>5.91E-2</v>
      </c>
      <c r="U68" s="21">
        <v>4.2900000000000001E-2</v>
      </c>
      <c r="V68" s="20">
        <v>0</v>
      </c>
      <c r="W68" s="20">
        <v>0</v>
      </c>
      <c r="X68" s="22">
        <v>0</v>
      </c>
      <c r="Y68" s="21">
        <v>0.59370000000000001</v>
      </c>
      <c r="Z68" s="19"/>
      <c r="AA68" s="19">
        <v>78</v>
      </c>
      <c r="AB68" s="23">
        <v>4.0999999999999996</v>
      </c>
    </row>
    <row r="69" spans="1:28" ht="18" customHeight="1" x14ac:dyDescent="0.2">
      <c r="A69" s="19" t="s">
        <v>196</v>
      </c>
      <c r="B69" s="19" t="s">
        <v>185</v>
      </c>
      <c r="C69" s="19" t="s">
        <v>22</v>
      </c>
      <c r="D69" s="19" t="s">
        <v>90</v>
      </c>
      <c r="E69" s="19" t="s">
        <v>95</v>
      </c>
      <c r="F69" s="19" t="s">
        <v>161</v>
      </c>
      <c r="G69" s="19" t="s">
        <v>88</v>
      </c>
      <c r="H69" s="19" t="s">
        <v>58</v>
      </c>
      <c r="I69" s="19">
        <v>55319</v>
      </c>
      <c r="J69" s="19">
        <v>3822</v>
      </c>
      <c r="K69" s="19">
        <v>3007</v>
      </c>
      <c r="L69" s="19">
        <v>437</v>
      </c>
      <c r="M69" s="19">
        <v>824</v>
      </c>
      <c r="N69" s="19">
        <v>305</v>
      </c>
      <c r="O69" s="19">
        <v>65</v>
      </c>
      <c r="P69" s="19">
        <v>65</v>
      </c>
      <c r="Q69" s="20">
        <v>10855</v>
      </c>
      <c r="R69" s="20">
        <v>0</v>
      </c>
      <c r="S69" s="19">
        <v>167</v>
      </c>
      <c r="T69" s="21">
        <v>6.9099999999999995E-2</v>
      </c>
      <c r="U69" s="21">
        <v>2.1600000000000001E-2</v>
      </c>
      <c r="V69" s="20">
        <v>0</v>
      </c>
      <c r="W69" s="20">
        <v>0</v>
      </c>
      <c r="X69" s="22">
        <v>0</v>
      </c>
      <c r="Y69" s="21">
        <v>0.19159999999999999</v>
      </c>
      <c r="Z69" s="19"/>
      <c r="AA69" s="19">
        <v>76</v>
      </c>
      <c r="AB69" s="23">
        <v>3.8</v>
      </c>
    </row>
    <row r="70" spans="1:28" ht="18" customHeight="1" x14ac:dyDescent="0.2">
      <c r="A70" s="19" t="s">
        <v>197</v>
      </c>
      <c r="B70" s="19" t="s">
        <v>185</v>
      </c>
      <c r="C70" s="19" t="s">
        <v>19</v>
      </c>
      <c r="D70" s="19" t="s">
        <v>102</v>
      </c>
      <c r="E70" s="19" t="s">
        <v>116</v>
      </c>
      <c r="F70" s="19" t="s">
        <v>130</v>
      </c>
      <c r="G70" s="19" t="s">
        <v>93</v>
      </c>
      <c r="H70" s="19" t="s">
        <v>57</v>
      </c>
      <c r="I70" s="19">
        <v>62849</v>
      </c>
      <c r="J70" s="19">
        <v>4665</v>
      </c>
      <c r="K70" s="19">
        <v>4013</v>
      </c>
      <c r="L70" s="19">
        <v>508</v>
      </c>
      <c r="M70" s="19">
        <v>1273</v>
      </c>
      <c r="N70" s="19">
        <v>716</v>
      </c>
      <c r="O70" s="19">
        <v>177</v>
      </c>
      <c r="P70" s="19">
        <v>177</v>
      </c>
      <c r="Q70" s="20">
        <v>18939</v>
      </c>
      <c r="R70" s="20">
        <v>37152</v>
      </c>
      <c r="S70" s="19">
        <v>107</v>
      </c>
      <c r="T70" s="21">
        <v>7.4200000000000002E-2</v>
      </c>
      <c r="U70" s="21">
        <v>4.41E-2</v>
      </c>
      <c r="V70" s="20">
        <v>209.9</v>
      </c>
      <c r="W70" s="20">
        <v>7.96</v>
      </c>
      <c r="X70" s="22">
        <v>0.51</v>
      </c>
      <c r="Y70" s="21">
        <v>0.29659999999999997</v>
      </c>
      <c r="Z70" s="19"/>
      <c r="AA70" s="19">
        <v>67</v>
      </c>
      <c r="AB70" s="23">
        <v>4.7</v>
      </c>
    </row>
    <row r="71" spans="1:28" ht="18" customHeight="1" x14ac:dyDescent="0.2">
      <c r="A71" s="19" t="s">
        <v>198</v>
      </c>
      <c r="B71" s="19" t="s">
        <v>185</v>
      </c>
      <c r="C71" s="19" t="s">
        <v>21</v>
      </c>
      <c r="D71" s="19" t="s">
        <v>102</v>
      </c>
      <c r="E71" s="19" t="s">
        <v>91</v>
      </c>
      <c r="F71" s="19" t="s">
        <v>123</v>
      </c>
      <c r="G71" s="19" t="s">
        <v>97</v>
      </c>
      <c r="H71" s="19" t="s">
        <v>57</v>
      </c>
      <c r="I71" s="19">
        <v>177655</v>
      </c>
      <c r="J71" s="19">
        <v>8336</v>
      </c>
      <c r="K71" s="19">
        <v>8438</v>
      </c>
      <c r="L71" s="19">
        <v>1398</v>
      </c>
      <c r="M71" s="19">
        <v>2285</v>
      </c>
      <c r="N71" s="19">
        <v>936</v>
      </c>
      <c r="O71" s="19">
        <v>413</v>
      </c>
      <c r="P71" s="19">
        <v>413</v>
      </c>
      <c r="Q71" s="20">
        <v>29323</v>
      </c>
      <c r="R71" s="20">
        <v>0</v>
      </c>
      <c r="S71" s="19">
        <v>71</v>
      </c>
      <c r="T71" s="21">
        <v>4.6899999999999997E-2</v>
      </c>
      <c r="U71" s="21">
        <v>4.8899999999999999E-2</v>
      </c>
      <c r="V71" s="20">
        <v>0</v>
      </c>
      <c r="W71" s="20">
        <v>0</v>
      </c>
      <c r="X71" s="22">
        <v>0</v>
      </c>
      <c r="Y71" s="21">
        <v>0.57589999999999997</v>
      </c>
      <c r="Z71" s="19"/>
      <c r="AA71" s="19">
        <v>93</v>
      </c>
      <c r="AB71" s="23">
        <v>4.3</v>
      </c>
    </row>
    <row r="72" spans="1:28" ht="18" customHeight="1" x14ac:dyDescent="0.2">
      <c r="A72" s="19" t="s">
        <v>199</v>
      </c>
      <c r="B72" s="19" t="s">
        <v>185</v>
      </c>
      <c r="C72" s="19" t="s">
        <v>22</v>
      </c>
      <c r="D72" s="19" t="s">
        <v>102</v>
      </c>
      <c r="E72" s="19" t="s">
        <v>95</v>
      </c>
      <c r="F72" s="19" t="s">
        <v>112</v>
      </c>
      <c r="G72" s="19" t="s">
        <v>93</v>
      </c>
      <c r="H72" s="19" t="s">
        <v>58</v>
      </c>
      <c r="I72" s="19">
        <v>83559</v>
      </c>
      <c r="J72" s="19">
        <v>4050</v>
      </c>
      <c r="K72" s="19">
        <v>4002</v>
      </c>
      <c r="L72" s="19">
        <v>836</v>
      </c>
      <c r="M72" s="19">
        <v>878</v>
      </c>
      <c r="N72" s="19">
        <v>431</v>
      </c>
      <c r="O72" s="19">
        <v>222</v>
      </c>
      <c r="P72" s="19">
        <v>222</v>
      </c>
      <c r="Q72" s="20">
        <v>14874</v>
      </c>
      <c r="R72" s="20">
        <v>0</v>
      </c>
      <c r="S72" s="19">
        <v>67</v>
      </c>
      <c r="T72" s="21">
        <v>4.8500000000000001E-2</v>
      </c>
      <c r="U72" s="21">
        <v>5.5500000000000001E-2</v>
      </c>
      <c r="V72" s="20">
        <v>0</v>
      </c>
      <c r="W72" s="20">
        <v>0</v>
      </c>
      <c r="X72" s="22">
        <v>0</v>
      </c>
      <c r="Y72" s="21">
        <v>0.52280000000000004</v>
      </c>
      <c r="Z72" s="19"/>
      <c r="AA72" s="19">
        <v>65</v>
      </c>
      <c r="AB72" s="23">
        <v>4.2</v>
      </c>
    </row>
    <row r="73" spans="1:28" ht="18" customHeight="1" x14ac:dyDescent="0.2">
      <c r="A73" s="19" t="s">
        <v>200</v>
      </c>
      <c r="B73" s="19" t="s">
        <v>185</v>
      </c>
      <c r="C73" s="19" t="s">
        <v>19</v>
      </c>
      <c r="D73" s="19" t="s">
        <v>102</v>
      </c>
      <c r="E73" s="19" t="s">
        <v>116</v>
      </c>
      <c r="F73" s="19" t="s">
        <v>192</v>
      </c>
      <c r="G73" s="19" t="s">
        <v>100</v>
      </c>
      <c r="H73" s="19" t="s">
        <v>58</v>
      </c>
      <c r="I73" s="19">
        <v>158102</v>
      </c>
      <c r="J73" s="19">
        <v>8033</v>
      </c>
      <c r="K73" s="19">
        <v>8212</v>
      </c>
      <c r="L73" s="19">
        <v>1493</v>
      </c>
      <c r="M73" s="19">
        <v>1838</v>
      </c>
      <c r="N73" s="19">
        <v>719</v>
      </c>
      <c r="O73" s="19">
        <v>358</v>
      </c>
      <c r="P73" s="19">
        <v>358</v>
      </c>
      <c r="Q73" s="20">
        <v>45824</v>
      </c>
      <c r="R73" s="20">
        <v>5788</v>
      </c>
      <c r="S73" s="19">
        <v>128</v>
      </c>
      <c r="T73" s="21">
        <v>5.0799999999999998E-2</v>
      </c>
      <c r="U73" s="21">
        <v>4.36E-2</v>
      </c>
      <c r="V73" s="20">
        <v>16.170000000000002</v>
      </c>
      <c r="W73" s="20">
        <v>0.72</v>
      </c>
      <c r="X73" s="22">
        <v>7.92</v>
      </c>
      <c r="Y73" s="21">
        <v>0.24299999999999999</v>
      </c>
      <c r="Z73" s="19"/>
      <c r="AA73" s="19">
        <v>71</v>
      </c>
      <c r="AB73" s="23">
        <v>4.0999999999999996</v>
      </c>
    </row>
    <row r="74" spans="1:28" ht="18" customHeight="1" x14ac:dyDescent="0.2">
      <c r="A74" s="19" t="s">
        <v>201</v>
      </c>
      <c r="B74" s="19" t="s">
        <v>185</v>
      </c>
      <c r="C74" s="19" t="s">
        <v>19</v>
      </c>
      <c r="D74" s="19" t="s">
        <v>102</v>
      </c>
      <c r="E74" s="19" t="s">
        <v>114</v>
      </c>
      <c r="F74" s="19" t="s">
        <v>105</v>
      </c>
      <c r="G74" s="19" t="s">
        <v>88</v>
      </c>
      <c r="H74" s="19" t="s">
        <v>57</v>
      </c>
      <c r="I74" s="19">
        <v>177408</v>
      </c>
      <c r="J74" s="19">
        <v>2428</v>
      </c>
      <c r="K74" s="19">
        <v>2524</v>
      </c>
      <c r="L74" s="19">
        <v>242</v>
      </c>
      <c r="M74" s="19">
        <v>378</v>
      </c>
      <c r="N74" s="19">
        <v>226</v>
      </c>
      <c r="O74" s="19">
        <v>79</v>
      </c>
      <c r="P74" s="19">
        <v>79</v>
      </c>
      <c r="Q74" s="20">
        <v>8295</v>
      </c>
      <c r="R74" s="20">
        <v>15778</v>
      </c>
      <c r="S74" s="19">
        <v>105</v>
      </c>
      <c r="T74" s="21">
        <v>1.37E-2</v>
      </c>
      <c r="U74" s="21">
        <v>3.1300000000000001E-2</v>
      </c>
      <c r="V74" s="20">
        <v>199.72</v>
      </c>
      <c r="W74" s="20">
        <v>6.5</v>
      </c>
      <c r="X74" s="22">
        <v>0.53</v>
      </c>
      <c r="Y74" s="21">
        <v>0.37619999999999998</v>
      </c>
      <c r="Z74" s="19"/>
      <c r="AA74" s="19">
        <v>95</v>
      </c>
      <c r="AB74" s="23">
        <v>4.5</v>
      </c>
    </row>
    <row r="75" spans="1:28" ht="18" customHeight="1" x14ac:dyDescent="0.2">
      <c r="A75" s="19" t="s">
        <v>202</v>
      </c>
      <c r="B75" s="19" t="s">
        <v>185</v>
      </c>
      <c r="C75" s="19" t="s">
        <v>18</v>
      </c>
      <c r="D75" s="19" t="s">
        <v>90</v>
      </c>
      <c r="E75" s="19" t="s">
        <v>91</v>
      </c>
      <c r="F75" s="19" t="s">
        <v>176</v>
      </c>
      <c r="G75" s="19" t="s">
        <v>121</v>
      </c>
      <c r="H75" s="19" t="s">
        <v>57</v>
      </c>
      <c r="I75" s="19">
        <v>64899</v>
      </c>
      <c r="J75" s="19">
        <v>3214</v>
      </c>
      <c r="K75" s="19">
        <v>2999</v>
      </c>
      <c r="L75" s="19">
        <v>341</v>
      </c>
      <c r="M75" s="19">
        <v>685</v>
      </c>
      <c r="N75" s="19">
        <v>365</v>
      </c>
      <c r="O75" s="19">
        <v>194</v>
      </c>
      <c r="P75" s="19">
        <v>194</v>
      </c>
      <c r="Q75" s="20">
        <v>32204</v>
      </c>
      <c r="R75" s="20">
        <v>11495</v>
      </c>
      <c r="S75" s="19">
        <v>166</v>
      </c>
      <c r="T75" s="21">
        <v>4.9500000000000002E-2</v>
      </c>
      <c r="U75" s="21">
        <v>6.4699999999999994E-2</v>
      </c>
      <c r="V75" s="20">
        <v>59.25</v>
      </c>
      <c r="W75" s="20">
        <v>3.58</v>
      </c>
      <c r="X75" s="22">
        <v>2.8</v>
      </c>
      <c r="Y75" s="21">
        <v>0.54600000000000004</v>
      </c>
      <c r="Z75" s="19"/>
      <c r="AA75" s="19">
        <v>71</v>
      </c>
      <c r="AB75" s="23">
        <v>4.8</v>
      </c>
    </row>
    <row r="76" spans="1:28" ht="18" customHeight="1" x14ac:dyDescent="0.2">
      <c r="A76" s="19" t="s">
        <v>203</v>
      </c>
      <c r="B76" s="19" t="s">
        <v>185</v>
      </c>
      <c r="C76" s="19" t="s">
        <v>18</v>
      </c>
      <c r="D76" s="19" t="s">
        <v>90</v>
      </c>
      <c r="E76" s="19" t="s">
        <v>86</v>
      </c>
      <c r="F76" s="19" t="s">
        <v>166</v>
      </c>
      <c r="G76" s="19" t="s">
        <v>100</v>
      </c>
      <c r="H76" s="19" t="s">
        <v>58</v>
      </c>
      <c r="I76" s="19">
        <v>213628</v>
      </c>
      <c r="J76" s="19">
        <v>14739</v>
      </c>
      <c r="K76" s="19">
        <v>11494</v>
      </c>
      <c r="L76" s="19">
        <v>1387</v>
      </c>
      <c r="M76" s="19">
        <v>3525</v>
      </c>
      <c r="N76" s="19">
        <v>2277</v>
      </c>
      <c r="O76" s="19">
        <v>629</v>
      </c>
      <c r="P76" s="19">
        <v>629</v>
      </c>
      <c r="Q76" s="20">
        <v>99382</v>
      </c>
      <c r="R76" s="20">
        <v>23328</v>
      </c>
      <c r="S76" s="19">
        <v>158</v>
      </c>
      <c r="T76" s="21">
        <v>6.9000000000000006E-2</v>
      </c>
      <c r="U76" s="21">
        <v>5.4699999999999999E-2</v>
      </c>
      <c r="V76" s="20">
        <v>37.090000000000003</v>
      </c>
      <c r="W76" s="20">
        <v>1.58</v>
      </c>
      <c r="X76" s="22">
        <v>4.26</v>
      </c>
      <c r="Y76" s="21">
        <v>0.44990000000000002</v>
      </c>
      <c r="Z76" s="19"/>
      <c r="AA76" s="19">
        <v>98</v>
      </c>
      <c r="AB76" s="23">
        <v>4.3</v>
      </c>
    </row>
    <row r="77" spans="1:28" ht="18" customHeight="1" x14ac:dyDescent="0.2">
      <c r="A77" s="19" t="s">
        <v>204</v>
      </c>
      <c r="B77" s="19" t="s">
        <v>185</v>
      </c>
      <c r="C77" s="19" t="s">
        <v>19</v>
      </c>
      <c r="D77" s="19" t="s">
        <v>90</v>
      </c>
      <c r="E77" s="19" t="s">
        <v>95</v>
      </c>
      <c r="F77" s="19" t="s">
        <v>192</v>
      </c>
      <c r="G77" s="19" t="s">
        <v>118</v>
      </c>
      <c r="H77" s="19" t="s">
        <v>57</v>
      </c>
      <c r="I77" s="19">
        <v>82338</v>
      </c>
      <c r="J77" s="19">
        <v>2008</v>
      </c>
      <c r="K77" s="19">
        <v>2123</v>
      </c>
      <c r="L77" s="19">
        <v>266</v>
      </c>
      <c r="M77" s="19">
        <v>456</v>
      </c>
      <c r="N77" s="19">
        <v>300</v>
      </c>
      <c r="O77" s="19">
        <v>112</v>
      </c>
      <c r="P77" s="19">
        <v>112</v>
      </c>
      <c r="Q77" s="20">
        <v>8064</v>
      </c>
      <c r="R77" s="20">
        <v>2954</v>
      </c>
      <c r="S77" s="19">
        <v>72</v>
      </c>
      <c r="T77" s="21">
        <v>2.4400000000000002E-2</v>
      </c>
      <c r="U77" s="21">
        <v>5.28E-2</v>
      </c>
      <c r="V77" s="20">
        <v>26.38</v>
      </c>
      <c r="W77" s="20">
        <v>1.47</v>
      </c>
      <c r="X77" s="22">
        <v>2.73</v>
      </c>
      <c r="Y77" s="21">
        <v>0.21279999999999999</v>
      </c>
      <c r="Z77" s="19"/>
      <c r="AA77" s="19">
        <v>85</v>
      </c>
      <c r="AB77" s="23">
        <v>4.5999999999999996</v>
      </c>
    </row>
    <row r="78" spans="1:28" ht="18" customHeight="1" x14ac:dyDescent="0.2">
      <c r="A78" s="19" t="s">
        <v>205</v>
      </c>
      <c r="B78" s="19" t="s">
        <v>185</v>
      </c>
      <c r="C78" s="19" t="s">
        <v>20</v>
      </c>
      <c r="D78" s="19" t="s">
        <v>102</v>
      </c>
      <c r="E78" s="19" t="s">
        <v>91</v>
      </c>
      <c r="F78" s="19" t="s">
        <v>132</v>
      </c>
      <c r="G78" s="19" t="s">
        <v>100</v>
      </c>
      <c r="H78" s="19" t="s">
        <v>58</v>
      </c>
      <c r="I78" s="19">
        <v>220134</v>
      </c>
      <c r="J78" s="19">
        <v>16265</v>
      </c>
      <c r="K78" s="19">
        <v>11811</v>
      </c>
      <c r="L78" s="19">
        <v>1423</v>
      </c>
      <c r="M78" s="19">
        <v>3041</v>
      </c>
      <c r="N78" s="19">
        <v>1275</v>
      </c>
      <c r="O78" s="19">
        <v>839</v>
      </c>
      <c r="P78" s="19">
        <v>839</v>
      </c>
      <c r="Q78" s="20">
        <v>152698</v>
      </c>
      <c r="R78" s="20">
        <v>16112</v>
      </c>
      <c r="S78" s="19">
        <v>182</v>
      </c>
      <c r="T78" s="21">
        <v>7.3899999999999993E-2</v>
      </c>
      <c r="U78" s="21">
        <v>7.0999999999999994E-2</v>
      </c>
      <c r="V78" s="20">
        <v>19.2</v>
      </c>
      <c r="W78" s="20">
        <v>0.99</v>
      </c>
      <c r="X78" s="22">
        <v>9.48</v>
      </c>
      <c r="Y78" s="21">
        <v>0.58509999999999995</v>
      </c>
      <c r="Z78" s="19"/>
      <c r="AA78" s="19">
        <v>84</v>
      </c>
      <c r="AB78" s="23">
        <v>4.2</v>
      </c>
    </row>
    <row r="79" spans="1:28" ht="18" customHeight="1" x14ac:dyDescent="0.2">
      <c r="A79" s="19" t="s">
        <v>206</v>
      </c>
      <c r="B79" s="19" t="s">
        <v>185</v>
      </c>
      <c r="C79" s="19" t="s">
        <v>18</v>
      </c>
      <c r="D79" s="19" t="s">
        <v>90</v>
      </c>
      <c r="E79" s="19" t="s">
        <v>91</v>
      </c>
      <c r="F79" s="19" t="s">
        <v>147</v>
      </c>
      <c r="G79" s="19" t="s">
        <v>88</v>
      </c>
      <c r="H79" s="19" t="s">
        <v>57</v>
      </c>
      <c r="I79" s="19">
        <v>263444</v>
      </c>
      <c r="J79" s="19">
        <v>18876</v>
      </c>
      <c r="K79" s="19">
        <v>14844</v>
      </c>
      <c r="L79" s="19">
        <v>2678</v>
      </c>
      <c r="M79" s="19">
        <v>3450</v>
      </c>
      <c r="N79" s="19">
        <v>2307</v>
      </c>
      <c r="O79" s="19">
        <v>889</v>
      </c>
      <c r="P79" s="19">
        <v>889</v>
      </c>
      <c r="Q79" s="20">
        <v>82677</v>
      </c>
      <c r="R79" s="20">
        <v>16379</v>
      </c>
      <c r="S79" s="19">
        <v>93</v>
      </c>
      <c r="T79" s="21">
        <v>7.17E-2</v>
      </c>
      <c r="U79" s="21">
        <v>5.9900000000000002E-2</v>
      </c>
      <c r="V79" s="20">
        <v>18.420000000000002</v>
      </c>
      <c r="W79" s="20">
        <v>0.87</v>
      </c>
      <c r="X79" s="22">
        <v>5.05</v>
      </c>
      <c r="Y79" s="21">
        <v>0.26240000000000002</v>
      </c>
      <c r="Z79" s="19"/>
      <c r="AA79" s="19">
        <v>78</v>
      </c>
      <c r="AB79" s="23">
        <v>4.2</v>
      </c>
    </row>
    <row r="80" spans="1:28" ht="18" customHeight="1" x14ac:dyDescent="0.2">
      <c r="A80" s="19" t="s">
        <v>207</v>
      </c>
      <c r="B80" s="19" t="s">
        <v>185</v>
      </c>
      <c r="C80" s="19" t="s">
        <v>19</v>
      </c>
      <c r="D80" s="19" t="s">
        <v>90</v>
      </c>
      <c r="E80" s="19" t="s">
        <v>116</v>
      </c>
      <c r="F80" s="19" t="s">
        <v>117</v>
      </c>
      <c r="G80" s="19" t="s">
        <v>93</v>
      </c>
      <c r="H80" s="19" t="s">
        <v>57</v>
      </c>
      <c r="I80" s="19">
        <v>57744</v>
      </c>
      <c r="J80" s="19">
        <v>2181</v>
      </c>
      <c r="K80" s="19">
        <v>2198</v>
      </c>
      <c r="L80" s="19">
        <v>380</v>
      </c>
      <c r="M80" s="19">
        <v>271</v>
      </c>
      <c r="N80" s="19">
        <v>125</v>
      </c>
      <c r="O80" s="19">
        <v>70</v>
      </c>
      <c r="P80" s="19">
        <v>70</v>
      </c>
      <c r="Q80" s="20">
        <v>5180</v>
      </c>
      <c r="R80" s="20">
        <v>12626</v>
      </c>
      <c r="S80" s="19">
        <v>74</v>
      </c>
      <c r="T80" s="21">
        <v>3.78E-2</v>
      </c>
      <c r="U80" s="21">
        <v>3.1800000000000002E-2</v>
      </c>
      <c r="V80" s="20">
        <v>180.37</v>
      </c>
      <c r="W80" s="20">
        <v>5.79</v>
      </c>
      <c r="X80" s="22">
        <v>0.41</v>
      </c>
      <c r="Y80" s="21">
        <v>0.40789999999999998</v>
      </c>
      <c r="Z80" s="19"/>
      <c r="AA80" s="19">
        <v>98</v>
      </c>
      <c r="AB80" s="23">
        <v>4.4000000000000004</v>
      </c>
    </row>
    <row r="81" spans="1:28" ht="18" customHeight="1" x14ac:dyDescent="0.2">
      <c r="A81" s="19" t="s">
        <v>208</v>
      </c>
      <c r="B81" s="19" t="s">
        <v>185</v>
      </c>
      <c r="C81" s="19" t="s">
        <v>22</v>
      </c>
      <c r="D81" s="19" t="s">
        <v>85</v>
      </c>
      <c r="E81" s="19" t="s">
        <v>116</v>
      </c>
      <c r="F81" s="19" t="s">
        <v>120</v>
      </c>
      <c r="G81" s="19" t="s">
        <v>118</v>
      </c>
      <c r="H81" s="19" t="s">
        <v>58</v>
      </c>
      <c r="I81" s="19">
        <v>55613</v>
      </c>
      <c r="J81" s="19">
        <v>1515</v>
      </c>
      <c r="K81" s="19">
        <v>1245</v>
      </c>
      <c r="L81" s="19">
        <v>178</v>
      </c>
      <c r="M81" s="19">
        <v>217</v>
      </c>
      <c r="N81" s="19">
        <v>132</v>
      </c>
      <c r="O81" s="19">
        <v>80</v>
      </c>
      <c r="P81" s="19">
        <v>80</v>
      </c>
      <c r="Q81" s="20">
        <v>7600</v>
      </c>
      <c r="R81" s="20">
        <v>0</v>
      </c>
      <c r="S81" s="19">
        <v>95</v>
      </c>
      <c r="T81" s="21">
        <v>2.7199999999999998E-2</v>
      </c>
      <c r="U81" s="21">
        <v>6.4299999999999996E-2</v>
      </c>
      <c r="V81" s="20">
        <v>0</v>
      </c>
      <c r="W81" s="20">
        <v>0</v>
      </c>
      <c r="X81" s="22">
        <v>0</v>
      </c>
      <c r="Y81" s="21">
        <v>0.42559999999999998</v>
      </c>
      <c r="Z81" s="19"/>
      <c r="AA81" s="19">
        <v>94</v>
      </c>
      <c r="AB81" s="23">
        <v>3.6</v>
      </c>
    </row>
    <row r="82" spans="1:28" ht="18" customHeight="1" x14ac:dyDescent="0.2">
      <c r="A82" s="19" t="s">
        <v>209</v>
      </c>
      <c r="B82" s="19" t="s">
        <v>185</v>
      </c>
      <c r="C82" s="19" t="s">
        <v>18</v>
      </c>
      <c r="D82" s="19" t="s">
        <v>90</v>
      </c>
      <c r="E82" s="19" t="s">
        <v>91</v>
      </c>
      <c r="F82" s="19" t="s">
        <v>87</v>
      </c>
      <c r="G82" s="19" t="s">
        <v>118</v>
      </c>
      <c r="H82" s="19" t="s">
        <v>57</v>
      </c>
      <c r="I82" s="19">
        <v>68879</v>
      </c>
      <c r="J82" s="19">
        <v>5743</v>
      </c>
      <c r="K82" s="19">
        <v>5154</v>
      </c>
      <c r="L82" s="19">
        <v>727</v>
      </c>
      <c r="M82" s="19">
        <v>1759</v>
      </c>
      <c r="N82" s="19">
        <v>1017</v>
      </c>
      <c r="O82" s="19">
        <v>401</v>
      </c>
      <c r="P82" s="19">
        <v>401</v>
      </c>
      <c r="Q82" s="20">
        <v>25263</v>
      </c>
      <c r="R82" s="20">
        <v>36428</v>
      </c>
      <c r="S82" s="19">
        <v>63</v>
      </c>
      <c r="T82" s="21">
        <v>8.3400000000000002E-2</v>
      </c>
      <c r="U82" s="21">
        <v>7.7799999999999994E-2</v>
      </c>
      <c r="V82" s="20">
        <v>90.84</v>
      </c>
      <c r="W82" s="20">
        <v>6.34</v>
      </c>
      <c r="X82" s="22">
        <v>0.69</v>
      </c>
      <c r="Y82" s="21">
        <v>0.63149999999999995</v>
      </c>
      <c r="Z82" s="19"/>
      <c r="AA82" s="19">
        <v>81</v>
      </c>
      <c r="AB82" s="23">
        <v>4.5999999999999996</v>
      </c>
    </row>
    <row r="83" spans="1:28" ht="18" customHeight="1" x14ac:dyDescent="0.2">
      <c r="A83" s="19" t="s">
        <v>210</v>
      </c>
      <c r="B83" s="19" t="s">
        <v>185</v>
      </c>
      <c r="C83" s="19" t="s">
        <v>21</v>
      </c>
      <c r="D83" s="19" t="s">
        <v>102</v>
      </c>
      <c r="E83" s="19" t="s">
        <v>114</v>
      </c>
      <c r="F83" s="19" t="s">
        <v>99</v>
      </c>
      <c r="G83" s="19" t="s">
        <v>118</v>
      </c>
      <c r="H83" s="19" t="s">
        <v>58</v>
      </c>
      <c r="I83" s="19">
        <v>215193</v>
      </c>
      <c r="J83" s="19">
        <v>3672</v>
      </c>
      <c r="K83" s="19">
        <v>3574</v>
      </c>
      <c r="L83" s="19">
        <v>517</v>
      </c>
      <c r="M83" s="19">
        <v>523</v>
      </c>
      <c r="N83" s="19">
        <v>251</v>
      </c>
      <c r="O83" s="19">
        <v>256</v>
      </c>
      <c r="P83" s="19">
        <v>251</v>
      </c>
      <c r="Q83" s="20">
        <v>26368</v>
      </c>
      <c r="R83" s="20">
        <v>0</v>
      </c>
      <c r="S83" s="19">
        <v>103</v>
      </c>
      <c r="T83" s="21">
        <v>1.7100000000000001E-2</v>
      </c>
      <c r="U83" s="21">
        <v>7.1599999999999997E-2</v>
      </c>
      <c r="V83" s="20">
        <v>0</v>
      </c>
      <c r="W83" s="20">
        <v>0</v>
      </c>
      <c r="X83" s="22">
        <v>0</v>
      </c>
      <c r="Y83" s="21">
        <v>0.45379999999999998</v>
      </c>
      <c r="Z83" s="19"/>
      <c r="AA83" s="19">
        <v>69</v>
      </c>
      <c r="AB83" s="23">
        <v>3.7</v>
      </c>
    </row>
    <row r="84" spans="1:28" ht="18" customHeight="1" x14ac:dyDescent="0.2">
      <c r="A84" s="19" t="s">
        <v>211</v>
      </c>
      <c r="B84" s="19" t="s">
        <v>185</v>
      </c>
      <c r="C84" s="19" t="s">
        <v>18</v>
      </c>
      <c r="D84" s="19" t="s">
        <v>102</v>
      </c>
      <c r="E84" s="19" t="s">
        <v>95</v>
      </c>
      <c r="F84" s="19" t="s">
        <v>87</v>
      </c>
      <c r="G84" s="19" t="s">
        <v>100</v>
      </c>
      <c r="H84" s="19" t="s">
        <v>57</v>
      </c>
      <c r="I84" s="19">
        <v>27132</v>
      </c>
      <c r="J84" s="19">
        <v>1494</v>
      </c>
      <c r="K84" s="19">
        <v>1601</v>
      </c>
      <c r="L84" s="19">
        <v>142</v>
      </c>
      <c r="M84" s="19">
        <v>252</v>
      </c>
      <c r="N84" s="19">
        <v>117</v>
      </c>
      <c r="O84" s="19">
        <v>93</v>
      </c>
      <c r="P84" s="19">
        <v>93</v>
      </c>
      <c r="Q84" s="20">
        <v>8835</v>
      </c>
      <c r="R84" s="20">
        <v>26966</v>
      </c>
      <c r="S84" s="19">
        <v>95</v>
      </c>
      <c r="T84" s="21">
        <v>5.5100000000000003E-2</v>
      </c>
      <c r="U84" s="21">
        <v>5.8099999999999999E-2</v>
      </c>
      <c r="V84" s="20">
        <v>289.95999999999998</v>
      </c>
      <c r="W84" s="20">
        <v>18.05</v>
      </c>
      <c r="X84" s="22">
        <v>0.33</v>
      </c>
      <c r="Y84" s="21">
        <v>0.49280000000000002</v>
      </c>
      <c r="Z84" s="19"/>
      <c r="AA84" s="19">
        <v>84</v>
      </c>
      <c r="AB84" s="23">
        <v>4</v>
      </c>
    </row>
    <row r="85" spans="1:28" ht="18" customHeight="1" x14ac:dyDescent="0.2">
      <c r="A85" s="19" t="s">
        <v>212</v>
      </c>
      <c r="B85" s="19" t="s">
        <v>185</v>
      </c>
      <c r="C85" s="19" t="s">
        <v>21</v>
      </c>
      <c r="D85" s="19" t="s">
        <v>90</v>
      </c>
      <c r="E85" s="19" t="s">
        <v>95</v>
      </c>
      <c r="F85" s="19" t="s">
        <v>99</v>
      </c>
      <c r="G85" s="19" t="s">
        <v>100</v>
      </c>
      <c r="H85" s="19" t="s">
        <v>57</v>
      </c>
      <c r="I85" s="19">
        <v>248348</v>
      </c>
      <c r="J85" s="19">
        <v>15922</v>
      </c>
      <c r="K85" s="19">
        <v>15478</v>
      </c>
      <c r="L85" s="19">
        <v>1414</v>
      </c>
      <c r="M85" s="19">
        <v>4635</v>
      </c>
      <c r="N85" s="19">
        <v>2104</v>
      </c>
      <c r="O85" s="19">
        <v>878</v>
      </c>
      <c r="P85" s="19">
        <v>878</v>
      </c>
      <c r="Q85" s="20">
        <v>119408</v>
      </c>
      <c r="R85" s="20">
        <v>0</v>
      </c>
      <c r="S85" s="19">
        <v>136</v>
      </c>
      <c r="T85" s="21">
        <v>6.4100000000000004E-2</v>
      </c>
      <c r="U85" s="21">
        <v>5.67E-2</v>
      </c>
      <c r="V85" s="20">
        <v>0</v>
      </c>
      <c r="W85" s="20">
        <v>0</v>
      </c>
      <c r="X85" s="22">
        <v>0</v>
      </c>
      <c r="Y85" s="21">
        <v>0.33629999999999999</v>
      </c>
      <c r="Z85" s="19"/>
      <c r="AA85" s="19">
        <v>80</v>
      </c>
      <c r="AB85" s="23">
        <v>4.3</v>
      </c>
    </row>
    <row r="86" spans="1:28" ht="18" customHeight="1" x14ac:dyDescent="0.2">
      <c r="A86" s="19" t="s">
        <v>213</v>
      </c>
      <c r="B86" s="19" t="s">
        <v>185</v>
      </c>
      <c r="C86" s="19" t="s">
        <v>21</v>
      </c>
      <c r="D86" s="19" t="s">
        <v>90</v>
      </c>
      <c r="E86" s="19" t="s">
        <v>107</v>
      </c>
      <c r="F86" s="19" t="s">
        <v>123</v>
      </c>
      <c r="G86" s="19" t="s">
        <v>100</v>
      </c>
      <c r="H86" s="19" t="s">
        <v>58</v>
      </c>
      <c r="I86" s="19">
        <v>82444</v>
      </c>
      <c r="J86" s="19">
        <v>4787</v>
      </c>
      <c r="K86" s="19">
        <v>4203</v>
      </c>
      <c r="L86" s="19">
        <v>428</v>
      </c>
      <c r="M86" s="19">
        <v>1259</v>
      </c>
      <c r="N86" s="19">
        <v>862</v>
      </c>
      <c r="O86" s="19">
        <v>287</v>
      </c>
      <c r="P86" s="19">
        <v>287</v>
      </c>
      <c r="Q86" s="20">
        <v>26404</v>
      </c>
      <c r="R86" s="20">
        <v>0</v>
      </c>
      <c r="S86" s="19">
        <v>92</v>
      </c>
      <c r="T86" s="21">
        <v>5.8099999999999999E-2</v>
      </c>
      <c r="U86" s="21">
        <v>6.83E-2</v>
      </c>
      <c r="V86" s="20">
        <v>0</v>
      </c>
      <c r="W86" s="20">
        <v>0</v>
      </c>
      <c r="X86" s="22">
        <v>0</v>
      </c>
      <c r="Y86" s="21">
        <v>0.59530000000000005</v>
      </c>
      <c r="Z86" s="19"/>
      <c r="AA86" s="19">
        <v>76</v>
      </c>
      <c r="AB86" s="23">
        <v>4.4000000000000004</v>
      </c>
    </row>
    <row r="87" spans="1:28" ht="18" customHeight="1" x14ac:dyDescent="0.2">
      <c r="A87" s="19" t="s">
        <v>214</v>
      </c>
      <c r="B87" s="19" t="s">
        <v>185</v>
      </c>
      <c r="C87" s="19" t="s">
        <v>18</v>
      </c>
      <c r="D87" s="19" t="s">
        <v>102</v>
      </c>
      <c r="E87" s="19" t="s">
        <v>91</v>
      </c>
      <c r="F87" s="19" t="s">
        <v>166</v>
      </c>
      <c r="G87" s="19" t="s">
        <v>121</v>
      </c>
      <c r="H87" s="19" t="s">
        <v>58</v>
      </c>
      <c r="I87" s="19">
        <v>125461</v>
      </c>
      <c r="J87" s="19">
        <v>3860</v>
      </c>
      <c r="K87" s="19">
        <v>3111</v>
      </c>
      <c r="L87" s="19">
        <v>255</v>
      </c>
      <c r="M87" s="19">
        <v>750</v>
      </c>
      <c r="N87" s="19">
        <v>504</v>
      </c>
      <c r="O87" s="19">
        <v>238</v>
      </c>
      <c r="P87" s="19">
        <v>238</v>
      </c>
      <c r="Q87" s="20">
        <v>43792</v>
      </c>
      <c r="R87" s="20">
        <v>24564</v>
      </c>
      <c r="S87" s="19">
        <v>184</v>
      </c>
      <c r="T87" s="21">
        <v>3.0800000000000001E-2</v>
      </c>
      <c r="U87" s="21">
        <v>7.6499999999999999E-2</v>
      </c>
      <c r="V87" s="20">
        <v>103.21</v>
      </c>
      <c r="W87" s="20">
        <v>6.36</v>
      </c>
      <c r="X87" s="22">
        <v>1.78</v>
      </c>
      <c r="Y87" s="21">
        <v>0.30199999999999999</v>
      </c>
      <c r="Z87" s="19"/>
      <c r="AA87" s="19">
        <v>95</v>
      </c>
      <c r="AB87" s="23">
        <v>4</v>
      </c>
    </row>
    <row r="88" spans="1:28" ht="18" customHeight="1" x14ac:dyDescent="0.2">
      <c r="A88" s="19" t="s">
        <v>215</v>
      </c>
      <c r="B88" s="19" t="s">
        <v>185</v>
      </c>
      <c r="C88" s="19" t="s">
        <v>20</v>
      </c>
      <c r="D88" s="19" t="s">
        <v>102</v>
      </c>
      <c r="E88" s="19" t="s">
        <v>86</v>
      </c>
      <c r="F88" s="19" t="s">
        <v>132</v>
      </c>
      <c r="G88" s="19" t="s">
        <v>118</v>
      </c>
      <c r="H88" s="19" t="s">
        <v>57</v>
      </c>
      <c r="I88" s="19">
        <v>251205</v>
      </c>
      <c r="J88" s="19">
        <v>5898</v>
      </c>
      <c r="K88" s="19">
        <v>6127</v>
      </c>
      <c r="L88" s="19">
        <v>1271</v>
      </c>
      <c r="M88" s="19">
        <v>1023</v>
      </c>
      <c r="N88" s="19">
        <v>449</v>
      </c>
      <c r="O88" s="19">
        <v>433</v>
      </c>
      <c r="P88" s="19">
        <v>433</v>
      </c>
      <c r="Q88" s="20">
        <v>32908</v>
      </c>
      <c r="R88" s="20">
        <v>13989</v>
      </c>
      <c r="S88" s="19">
        <v>76</v>
      </c>
      <c r="T88" s="21">
        <v>2.35E-2</v>
      </c>
      <c r="U88" s="21">
        <v>7.0699999999999999E-2</v>
      </c>
      <c r="V88" s="20">
        <v>32.31</v>
      </c>
      <c r="W88" s="20">
        <v>2.37</v>
      </c>
      <c r="X88" s="22">
        <v>2.35</v>
      </c>
      <c r="Y88" s="21">
        <v>0.65439999999999998</v>
      </c>
      <c r="Z88" s="19"/>
      <c r="AA88" s="19">
        <v>71</v>
      </c>
      <c r="AB88" s="23">
        <v>3.7</v>
      </c>
    </row>
    <row r="89" spans="1:28" ht="18" customHeight="1" x14ac:dyDescent="0.2">
      <c r="A89" s="19" t="s">
        <v>216</v>
      </c>
      <c r="B89" s="19" t="s">
        <v>185</v>
      </c>
      <c r="C89" s="19" t="s">
        <v>17</v>
      </c>
      <c r="D89" s="19" t="s">
        <v>90</v>
      </c>
      <c r="E89" s="19" t="s">
        <v>114</v>
      </c>
      <c r="F89" s="19" t="s">
        <v>103</v>
      </c>
      <c r="G89" s="19" t="s">
        <v>118</v>
      </c>
      <c r="H89" s="19" t="s">
        <v>57</v>
      </c>
      <c r="I89" s="19">
        <v>219337</v>
      </c>
      <c r="J89" s="19">
        <v>4665</v>
      </c>
      <c r="K89" s="19">
        <v>4406</v>
      </c>
      <c r="L89" s="19">
        <v>735</v>
      </c>
      <c r="M89" s="19">
        <v>1296</v>
      </c>
      <c r="N89" s="19">
        <v>890</v>
      </c>
      <c r="O89" s="19">
        <v>156</v>
      </c>
      <c r="P89" s="19">
        <v>156</v>
      </c>
      <c r="Q89" s="20">
        <v>7332</v>
      </c>
      <c r="R89" s="20">
        <v>0</v>
      </c>
      <c r="S89" s="19">
        <v>47</v>
      </c>
      <c r="T89" s="21">
        <v>2.1299999999999999E-2</v>
      </c>
      <c r="U89" s="21">
        <v>3.5400000000000001E-2</v>
      </c>
      <c r="V89" s="20">
        <v>0</v>
      </c>
      <c r="W89" s="20">
        <v>0</v>
      </c>
      <c r="X89" s="22">
        <v>0</v>
      </c>
      <c r="Y89" s="21">
        <v>0.50560000000000005</v>
      </c>
      <c r="Z89" s="19">
        <v>35</v>
      </c>
      <c r="AA89" s="19">
        <v>78</v>
      </c>
      <c r="AB89" s="23">
        <v>4.0999999999999996</v>
      </c>
    </row>
    <row r="90" spans="1:28" ht="18" customHeight="1" x14ac:dyDescent="0.2">
      <c r="A90" s="19" t="s">
        <v>217</v>
      </c>
      <c r="B90" s="19" t="s">
        <v>185</v>
      </c>
      <c r="C90" s="19" t="s">
        <v>22</v>
      </c>
      <c r="D90" s="19" t="s">
        <v>85</v>
      </c>
      <c r="E90" s="19" t="s">
        <v>91</v>
      </c>
      <c r="F90" s="19" t="s">
        <v>138</v>
      </c>
      <c r="G90" s="19" t="s">
        <v>100</v>
      </c>
      <c r="H90" s="19" t="s">
        <v>58</v>
      </c>
      <c r="I90" s="19">
        <v>72064</v>
      </c>
      <c r="J90" s="19">
        <v>4793</v>
      </c>
      <c r="K90" s="19">
        <v>3760</v>
      </c>
      <c r="L90" s="19">
        <v>630</v>
      </c>
      <c r="M90" s="19">
        <v>1206</v>
      </c>
      <c r="N90" s="19">
        <v>492</v>
      </c>
      <c r="O90" s="19">
        <v>187</v>
      </c>
      <c r="P90" s="19">
        <v>187</v>
      </c>
      <c r="Q90" s="20">
        <v>16456</v>
      </c>
      <c r="R90" s="20">
        <v>0</v>
      </c>
      <c r="S90" s="19">
        <v>88</v>
      </c>
      <c r="T90" s="21">
        <v>6.6500000000000004E-2</v>
      </c>
      <c r="U90" s="21">
        <v>4.9700000000000001E-2</v>
      </c>
      <c r="V90" s="20">
        <v>0</v>
      </c>
      <c r="W90" s="20">
        <v>0</v>
      </c>
      <c r="X90" s="22">
        <v>0</v>
      </c>
      <c r="Y90" s="21">
        <v>0.42859999999999998</v>
      </c>
      <c r="Z90" s="19"/>
      <c r="AA90" s="19">
        <v>89</v>
      </c>
      <c r="AB90" s="23">
        <v>4.9000000000000004</v>
      </c>
    </row>
    <row r="91" spans="1:28" ht="18" customHeight="1" x14ac:dyDescent="0.2">
      <c r="A91" s="19" t="s">
        <v>218</v>
      </c>
      <c r="B91" s="19" t="s">
        <v>185</v>
      </c>
      <c r="C91" s="19" t="s">
        <v>21</v>
      </c>
      <c r="D91" s="19" t="s">
        <v>90</v>
      </c>
      <c r="E91" s="19" t="s">
        <v>91</v>
      </c>
      <c r="F91" s="19" t="s">
        <v>219</v>
      </c>
      <c r="G91" s="19" t="s">
        <v>93</v>
      </c>
      <c r="H91" s="19" t="s">
        <v>58</v>
      </c>
      <c r="I91" s="19">
        <v>88004</v>
      </c>
      <c r="J91" s="19">
        <v>5405</v>
      </c>
      <c r="K91" s="19">
        <v>5515</v>
      </c>
      <c r="L91" s="19">
        <v>702</v>
      </c>
      <c r="M91" s="19">
        <v>1478</v>
      </c>
      <c r="N91" s="19">
        <v>899</v>
      </c>
      <c r="O91" s="19">
        <v>395</v>
      </c>
      <c r="P91" s="19">
        <v>395</v>
      </c>
      <c r="Q91" s="20">
        <v>65965</v>
      </c>
      <c r="R91" s="20">
        <v>0</v>
      </c>
      <c r="S91" s="19">
        <v>167</v>
      </c>
      <c r="T91" s="21">
        <v>6.1400000000000003E-2</v>
      </c>
      <c r="U91" s="21">
        <v>7.1599999999999997E-2</v>
      </c>
      <c r="V91" s="20">
        <v>0</v>
      </c>
      <c r="W91" s="20">
        <v>0</v>
      </c>
      <c r="X91" s="22">
        <v>0</v>
      </c>
      <c r="Y91" s="21">
        <v>0.6361</v>
      </c>
      <c r="Z91" s="19"/>
      <c r="AA91" s="19">
        <v>66</v>
      </c>
      <c r="AB91" s="23">
        <v>4.9000000000000004</v>
      </c>
    </row>
    <row r="92" spans="1:28" ht="18" customHeight="1" x14ac:dyDescent="0.2">
      <c r="A92" s="19" t="s">
        <v>220</v>
      </c>
      <c r="B92" s="19" t="s">
        <v>221</v>
      </c>
      <c r="C92" s="19" t="s">
        <v>17</v>
      </c>
      <c r="D92" s="19" t="s">
        <v>102</v>
      </c>
      <c r="E92" s="19" t="s">
        <v>95</v>
      </c>
      <c r="F92" s="19" t="s">
        <v>92</v>
      </c>
      <c r="G92" s="19" t="s">
        <v>100</v>
      </c>
      <c r="H92" s="19" t="s">
        <v>57</v>
      </c>
      <c r="I92" s="19">
        <v>61757</v>
      </c>
      <c r="J92" s="19">
        <v>3615</v>
      </c>
      <c r="K92" s="19">
        <v>3188</v>
      </c>
      <c r="L92" s="19">
        <v>337</v>
      </c>
      <c r="M92" s="19">
        <v>422</v>
      </c>
      <c r="N92" s="19">
        <v>231</v>
      </c>
      <c r="O92" s="19">
        <v>124</v>
      </c>
      <c r="P92" s="19">
        <v>124</v>
      </c>
      <c r="Q92" s="20">
        <v>13640</v>
      </c>
      <c r="R92" s="20">
        <v>0</v>
      </c>
      <c r="S92" s="19">
        <v>110</v>
      </c>
      <c r="T92" s="21">
        <v>5.8500000000000003E-2</v>
      </c>
      <c r="U92" s="21">
        <v>3.8899999999999997E-2</v>
      </c>
      <c r="V92" s="20">
        <v>0</v>
      </c>
      <c r="W92" s="20">
        <v>0</v>
      </c>
      <c r="X92" s="22">
        <v>0</v>
      </c>
      <c r="Y92" s="21">
        <v>0.30830000000000002</v>
      </c>
      <c r="Z92" s="19">
        <v>26</v>
      </c>
      <c r="AA92" s="19">
        <v>78</v>
      </c>
      <c r="AB92" s="23">
        <v>4</v>
      </c>
    </row>
    <row r="93" spans="1:28" ht="18" customHeight="1" x14ac:dyDescent="0.2">
      <c r="A93" s="19" t="s">
        <v>222</v>
      </c>
      <c r="B93" s="19" t="s">
        <v>221</v>
      </c>
      <c r="C93" s="19" t="s">
        <v>17</v>
      </c>
      <c r="D93" s="19" t="s">
        <v>102</v>
      </c>
      <c r="E93" s="19" t="s">
        <v>116</v>
      </c>
      <c r="F93" s="19" t="s">
        <v>103</v>
      </c>
      <c r="G93" s="19" t="s">
        <v>97</v>
      </c>
      <c r="H93" s="19" t="s">
        <v>57</v>
      </c>
      <c r="I93" s="19">
        <v>202004</v>
      </c>
      <c r="J93" s="19">
        <v>16954</v>
      </c>
      <c r="K93" s="19">
        <v>13160</v>
      </c>
      <c r="L93" s="19">
        <v>2069</v>
      </c>
      <c r="M93" s="19">
        <v>3088</v>
      </c>
      <c r="N93" s="19">
        <v>1467</v>
      </c>
      <c r="O93" s="19">
        <v>946</v>
      </c>
      <c r="P93" s="19">
        <v>946</v>
      </c>
      <c r="Q93" s="20">
        <v>91762</v>
      </c>
      <c r="R93" s="20">
        <v>0</v>
      </c>
      <c r="S93" s="19">
        <v>97</v>
      </c>
      <c r="T93" s="21">
        <v>8.3900000000000002E-2</v>
      </c>
      <c r="U93" s="21">
        <v>7.1900000000000006E-2</v>
      </c>
      <c r="V93" s="20">
        <v>0</v>
      </c>
      <c r="W93" s="20">
        <v>0</v>
      </c>
      <c r="X93" s="22">
        <v>0</v>
      </c>
      <c r="Y93" s="21">
        <v>0.48220000000000002</v>
      </c>
      <c r="Z93" s="19">
        <v>17</v>
      </c>
      <c r="AA93" s="19">
        <v>71</v>
      </c>
      <c r="AB93" s="23">
        <v>3.6</v>
      </c>
    </row>
    <row r="94" spans="1:28" ht="18" customHeight="1" x14ac:dyDescent="0.2">
      <c r="A94" s="19" t="s">
        <v>223</v>
      </c>
      <c r="B94" s="19" t="s">
        <v>221</v>
      </c>
      <c r="C94" s="19" t="s">
        <v>18</v>
      </c>
      <c r="D94" s="19" t="s">
        <v>102</v>
      </c>
      <c r="E94" s="19" t="s">
        <v>116</v>
      </c>
      <c r="F94" s="19" t="s">
        <v>87</v>
      </c>
      <c r="G94" s="19" t="s">
        <v>97</v>
      </c>
      <c r="H94" s="19" t="s">
        <v>57</v>
      </c>
      <c r="I94" s="19">
        <v>217473</v>
      </c>
      <c r="J94" s="19">
        <v>17323</v>
      </c>
      <c r="K94" s="19">
        <v>14303</v>
      </c>
      <c r="L94" s="19">
        <v>1463</v>
      </c>
      <c r="M94" s="19">
        <v>4043</v>
      </c>
      <c r="N94" s="19">
        <v>1856</v>
      </c>
      <c r="O94" s="19">
        <v>977</v>
      </c>
      <c r="P94" s="19">
        <v>977</v>
      </c>
      <c r="Q94" s="20">
        <v>124079</v>
      </c>
      <c r="R94" s="20">
        <v>9517</v>
      </c>
      <c r="S94" s="19">
        <v>127</v>
      </c>
      <c r="T94" s="21">
        <v>7.9699999999999993E-2</v>
      </c>
      <c r="U94" s="21">
        <v>6.83E-2</v>
      </c>
      <c r="V94" s="20">
        <v>9.74</v>
      </c>
      <c r="W94" s="20">
        <v>0.55000000000000004</v>
      </c>
      <c r="X94" s="22">
        <v>13.04</v>
      </c>
      <c r="Y94" s="21">
        <v>0.56979999999999997</v>
      </c>
      <c r="Z94" s="19"/>
      <c r="AA94" s="19">
        <v>77</v>
      </c>
      <c r="AB94" s="23">
        <v>4.9000000000000004</v>
      </c>
    </row>
    <row r="95" spans="1:28" ht="18" customHeight="1" x14ac:dyDescent="0.2">
      <c r="A95" s="19" t="s">
        <v>224</v>
      </c>
      <c r="B95" s="19" t="s">
        <v>221</v>
      </c>
      <c r="C95" s="19" t="s">
        <v>19</v>
      </c>
      <c r="D95" s="19" t="s">
        <v>90</v>
      </c>
      <c r="E95" s="19" t="s">
        <v>114</v>
      </c>
      <c r="F95" s="19" t="s">
        <v>130</v>
      </c>
      <c r="G95" s="19" t="s">
        <v>88</v>
      </c>
      <c r="H95" s="19" t="s">
        <v>57</v>
      </c>
      <c r="I95" s="19">
        <v>182304</v>
      </c>
      <c r="J95" s="19">
        <v>4041</v>
      </c>
      <c r="K95" s="19">
        <v>3233</v>
      </c>
      <c r="L95" s="19">
        <v>686</v>
      </c>
      <c r="M95" s="19">
        <v>456</v>
      </c>
      <c r="N95" s="19">
        <v>319</v>
      </c>
      <c r="O95" s="19">
        <v>171</v>
      </c>
      <c r="P95" s="19">
        <v>171</v>
      </c>
      <c r="Q95" s="20">
        <v>10260</v>
      </c>
      <c r="R95" s="20">
        <v>29060</v>
      </c>
      <c r="S95" s="19">
        <v>60</v>
      </c>
      <c r="T95" s="21">
        <v>2.2200000000000001E-2</v>
      </c>
      <c r="U95" s="21">
        <v>5.2900000000000003E-2</v>
      </c>
      <c r="V95" s="20">
        <v>169.94</v>
      </c>
      <c r="W95" s="20">
        <v>7.19</v>
      </c>
      <c r="X95" s="22">
        <v>0.35</v>
      </c>
      <c r="Y95" s="21">
        <v>0.37159999999999999</v>
      </c>
      <c r="Z95" s="19"/>
      <c r="AA95" s="19">
        <v>88</v>
      </c>
      <c r="AB95" s="23">
        <v>4.2</v>
      </c>
    </row>
    <row r="96" spans="1:28" ht="18" customHeight="1" x14ac:dyDescent="0.2">
      <c r="A96" s="19" t="s">
        <v>225</v>
      </c>
      <c r="B96" s="19" t="s">
        <v>221</v>
      </c>
      <c r="C96" s="19" t="s">
        <v>19</v>
      </c>
      <c r="D96" s="19" t="s">
        <v>102</v>
      </c>
      <c r="E96" s="19" t="s">
        <v>107</v>
      </c>
      <c r="F96" s="19" t="s">
        <v>130</v>
      </c>
      <c r="G96" s="19" t="s">
        <v>121</v>
      </c>
      <c r="H96" s="19" t="s">
        <v>57</v>
      </c>
      <c r="I96" s="19">
        <v>74244</v>
      </c>
      <c r="J96" s="19">
        <v>2862</v>
      </c>
      <c r="K96" s="19">
        <v>2319</v>
      </c>
      <c r="L96" s="19">
        <v>438</v>
      </c>
      <c r="M96" s="19">
        <v>365</v>
      </c>
      <c r="N96" s="19">
        <v>172</v>
      </c>
      <c r="O96" s="19">
        <v>96</v>
      </c>
      <c r="P96" s="19">
        <v>96</v>
      </c>
      <c r="Q96" s="20">
        <v>11808</v>
      </c>
      <c r="R96" s="20">
        <v>4950</v>
      </c>
      <c r="S96" s="19">
        <v>123</v>
      </c>
      <c r="T96" s="21">
        <v>3.85E-2</v>
      </c>
      <c r="U96" s="21">
        <v>4.1399999999999999E-2</v>
      </c>
      <c r="V96" s="20">
        <v>51.56</v>
      </c>
      <c r="W96" s="20">
        <v>1.73</v>
      </c>
      <c r="X96" s="22">
        <v>2.39</v>
      </c>
      <c r="Y96" s="21">
        <v>0.42849999999999999</v>
      </c>
      <c r="Z96" s="19"/>
      <c r="AA96" s="19">
        <v>95</v>
      </c>
      <c r="AB96" s="23">
        <v>4.3</v>
      </c>
    </row>
    <row r="97" spans="1:28" ht="18" customHeight="1" x14ac:dyDescent="0.2">
      <c r="A97" s="19" t="s">
        <v>226</v>
      </c>
      <c r="B97" s="19" t="s">
        <v>221</v>
      </c>
      <c r="C97" s="19" t="s">
        <v>22</v>
      </c>
      <c r="D97" s="19" t="s">
        <v>85</v>
      </c>
      <c r="E97" s="19" t="s">
        <v>95</v>
      </c>
      <c r="F97" s="19" t="s">
        <v>161</v>
      </c>
      <c r="G97" s="19" t="s">
        <v>97</v>
      </c>
      <c r="H97" s="19" t="s">
        <v>58</v>
      </c>
      <c r="I97" s="19">
        <v>77911</v>
      </c>
      <c r="J97" s="19">
        <v>5114</v>
      </c>
      <c r="K97" s="19">
        <v>4457</v>
      </c>
      <c r="L97" s="19">
        <v>607</v>
      </c>
      <c r="M97" s="19">
        <v>1041</v>
      </c>
      <c r="N97" s="19">
        <v>706</v>
      </c>
      <c r="O97" s="19">
        <v>288</v>
      </c>
      <c r="P97" s="19">
        <v>288</v>
      </c>
      <c r="Q97" s="20">
        <v>30528</v>
      </c>
      <c r="R97" s="20">
        <v>0</v>
      </c>
      <c r="S97" s="19">
        <v>106</v>
      </c>
      <c r="T97" s="21">
        <v>6.5600000000000006E-2</v>
      </c>
      <c r="U97" s="21">
        <v>6.4600000000000005E-2</v>
      </c>
      <c r="V97" s="20">
        <v>0</v>
      </c>
      <c r="W97" s="20">
        <v>0</v>
      </c>
      <c r="X97" s="22">
        <v>0</v>
      </c>
      <c r="Y97" s="21">
        <v>0.2399</v>
      </c>
      <c r="Z97" s="19"/>
      <c r="AA97" s="19">
        <v>94</v>
      </c>
      <c r="AB97" s="23">
        <v>4.3</v>
      </c>
    </row>
    <row r="98" spans="1:28" ht="18" customHeight="1" x14ac:dyDescent="0.2">
      <c r="A98" s="19" t="s">
        <v>227</v>
      </c>
      <c r="B98" s="19" t="s">
        <v>221</v>
      </c>
      <c r="C98" s="19" t="s">
        <v>21</v>
      </c>
      <c r="D98" s="19" t="s">
        <v>102</v>
      </c>
      <c r="E98" s="19" t="s">
        <v>107</v>
      </c>
      <c r="F98" s="19" t="s">
        <v>96</v>
      </c>
      <c r="G98" s="19" t="s">
        <v>121</v>
      </c>
      <c r="H98" s="19" t="s">
        <v>58</v>
      </c>
      <c r="I98" s="19">
        <v>165657</v>
      </c>
      <c r="J98" s="19">
        <v>9773</v>
      </c>
      <c r="K98" s="19">
        <v>9371</v>
      </c>
      <c r="L98" s="19">
        <v>1520</v>
      </c>
      <c r="M98" s="19">
        <v>3096</v>
      </c>
      <c r="N98" s="19">
        <v>1726</v>
      </c>
      <c r="O98" s="19">
        <v>559</v>
      </c>
      <c r="P98" s="19">
        <v>559</v>
      </c>
      <c r="Q98" s="20">
        <v>73788</v>
      </c>
      <c r="R98" s="20">
        <v>0</v>
      </c>
      <c r="S98" s="19">
        <v>132</v>
      </c>
      <c r="T98" s="21">
        <v>5.8999999999999997E-2</v>
      </c>
      <c r="U98" s="21">
        <v>5.9700000000000003E-2</v>
      </c>
      <c r="V98" s="20">
        <v>0</v>
      </c>
      <c r="W98" s="20">
        <v>0</v>
      </c>
      <c r="X98" s="22">
        <v>0</v>
      </c>
      <c r="Y98" s="21">
        <v>0.25259999999999999</v>
      </c>
      <c r="Z98" s="19"/>
      <c r="AA98" s="19">
        <v>90</v>
      </c>
      <c r="AB98" s="23">
        <v>4</v>
      </c>
    </row>
    <row r="99" spans="1:28" ht="18" customHeight="1" x14ac:dyDescent="0.2">
      <c r="A99" s="19" t="s">
        <v>228</v>
      </c>
      <c r="B99" s="19" t="s">
        <v>221</v>
      </c>
      <c r="C99" s="19" t="s">
        <v>22</v>
      </c>
      <c r="D99" s="19" t="s">
        <v>85</v>
      </c>
      <c r="E99" s="19" t="s">
        <v>95</v>
      </c>
      <c r="F99" s="19" t="s">
        <v>112</v>
      </c>
      <c r="G99" s="19" t="s">
        <v>97</v>
      </c>
      <c r="H99" s="19" t="s">
        <v>57</v>
      </c>
      <c r="I99" s="19">
        <v>72972</v>
      </c>
      <c r="J99" s="19">
        <v>2371</v>
      </c>
      <c r="K99" s="19">
        <v>1789</v>
      </c>
      <c r="L99" s="19">
        <v>232</v>
      </c>
      <c r="M99" s="19">
        <v>503</v>
      </c>
      <c r="N99" s="19">
        <v>287</v>
      </c>
      <c r="O99" s="19">
        <v>102</v>
      </c>
      <c r="P99" s="19">
        <v>102</v>
      </c>
      <c r="Q99" s="20">
        <v>16626</v>
      </c>
      <c r="R99" s="20">
        <v>0</v>
      </c>
      <c r="S99" s="19">
        <v>163</v>
      </c>
      <c r="T99" s="21">
        <v>3.2500000000000001E-2</v>
      </c>
      <c r="U99" s="21">
        <v>5.7000000000000002E-2</v>
      </c>
      <c r="V99" s="20">
        <v>0</v>
      </c>
      <c r="W99" s="20">
        <v>0</v>
      </c>
      <c r="X99" s="22">
        <v>0</v>
      </c>
      <c r="Y99" s="21">
        <v>0.2218</v>
      </c>
      <c r="Z99" s="19"/>
      <c r="AA99" s="19">
        <v>90</v>
      </c>
      <c r="AB99" s="23">
        <v>4.7</v>
      </c>
    </row>
    <row r="100" spans="1:28" ht="18" customHeight="1" x14ac:dyDescent="0.2">
      <c r="A100" s="19" t="s">
        <v>229</v>
      </c>
      <c r="B100" s="19" t="s">
        <v>221</v>
      </c>
      <c r="C100" s="19" t="s">
        <v>19</v>
      </c>
      <c r="D100" s="19" t="s">
        <v>102</v>
      </c>
      <c r="E100" s="19" t="s">
        <v>95</v>
      </c>
      <c r="F100" s="19" t="s">
        <v>105</v>
      </c>
      <c r="G100" s="19" t="s">
        <v>93</v>
      </c>
      <c r="H100" s="19" t="s">
        <v>58</v>
      </c>
      <c r="I100" s="19">
        <v>227623</v>
      </c>
      <c r="J100" s="19">
        <v>7877</v>
      </c>
      <c r="K100" s="19">
        <v>6976</v>
      </c>
      <c r="L100" s="19">
        <v>668</v>
      </c>
      <c r="M100" s="19">
        <v>1102</v>
      </c>
      <c r="N100" s="19">
        <v>432</v>
      </c>
      <c r="O100" s="19">
        <v>226</v>
      </c>
      <c r="P100" s="19">
        <v>226</v>
      </c>
      <c r="Q100" s="20">
        <v>36160</v>
      </c>
      <c r="R100" s="20">
        <v>8470</v>
      </c>
      <c r="S100" s="19">
        <v>160</v>
      </c>
      <c r="T100" s="21">
        <v>3.4599999999999999E-2</v>
      </c>
      <c r="U100" s="21">
        <v>3.2399999999999998E-2</v>
      </c>
      <c r="V100" s="20">
        <v>37.479999999999997</v>
      </c>
      <c r="W100" s="20">
        <v>1.08</v>
      </c>
      <c r="X100" s="22">
        <v>4.2699999999999996</v>
      </c>
      <c r="Y100" s="21">
        <v>0.19189999999999999</v>
      </c>
      <c r="Z100" s="19"/>
      <c r="AA100" s="19">
        <v>91</v>
      </c>
      <c r="AB100" s="23">
        <v>3.6</v>
      </c>
    </row>
    <row r="101" spans="1:28" ht="18" customHeight="1" x14ac:dyDescent="0.2">
      <c r="A101" s="19" t="s">
        <v>230</v>
      </c>
      <c r="B101" s="19" t="s">
        <v>221</v>
      </c>
      <c r="C101" s="19" t="s">
        <v>19</v>
      </c>
      <c r="D101" s="19" t="s">
        <v>90</v>
      </c>
      <c r="E101" s="19" t="s">
        <v>116</v>
      </c>
      <c r="F101" s="19" t="s">
        <v>231</v>
      </c>
      <c r="G101" s="19" t="s">
        <v>93</v>
      </c>
      <c r="H101" s="19" t="s">
        <v>57</v>
      </c>
      <c r="I101" s="19">
        <v>104766</v>
      </c>
      <c r="J101" s="19">
        <v>2498</v>
      </c>
      <c r="K101" s="19">
        <v>1846</v>
      </c>
      <c r="L101" s="19">
        <v>314</v>
      </c>
      <c r="M101" s="19">
        <v>539</v>
      </c>
      <c r="N101" s="19">
        <v>231</v>
      </c>
      <c r="O101" s="19">
        <v>74</v>
      </c>
      <c r="P101" s="19">
        <v>74</v>
      </c>
      <c r="Q101" s="20">
        <v>8880</v>
      </c>
      <c r="R101" s="20">
        <v>24442</v>
      </c>
      <c r="S101" s="19">
        <v>120</v>
      </c>
      <c r="T101" s="21">
        <v>2.3800000000000002E-2</v>
      </c>
      <c r="U101" s="21">
        <v>4.0099999999999997E-2</v>
      </c>
      <c r="V101" s="20">
        <v>330.3</v>
      </c>
      <c r="W101" s="20">
        <v>9.7799999999999994</v>
      </c>
      <c r="X101" s="22">
        <v>0.36</v>
      </c>
      <c r="Y101" s="21">
        <v>0.2833</v>
      </c>
      <c r="Z101" s="19"/>
      <c r="AA101" s="19">
        <v>72</v>
      </c>
      <c r="AB101" s="23">
        <v>4.7</v>
      </c>
    </row>
    <row r="102" spans="1:28" ht="18" customHeight="1" x14ac:dyDescent="0.2">
      <c r="A102" s="19" t="s">
        <v>232</v>
      </c>
      <c r="B102" s="19" t="s">
        <v>221</v>
      </c>
      <c r="C102" s="19" t="s">
        <v>17</v>
      </c>
      <c r="D102" s="19" t="s">
        <v>85</v>
      </c>
      <c r="E102" s="19" t="s">
        <v>86</v>
      </c>
      <c r="F102" s="19" t="s">
        <v>103</v>
      </c>
      <c r="G102" s="19" t="s">
        <v>121</v>
      </c>
      <c r="H102" s="19" t="s">
        <v>58</v>
      </c>
      <c r="I102" s="19">
        <v>178866</v>
      </c>
      <c r="J102" s="19">
        <v>12844</v>
      </c>
      <c r="K102" s="19">
        <v>9962</v>
      </c>
      <c r="L102" s="19">
        <v>1218</v>
      </c>
      <c r="M102" s="19">
        <v>1335</v>
      </c>
      <c r="N102" s="19">
        <v>844</v>
      </c>
      <c r="O102" s="19">
        <v>708</v>
      </c>
      <c r="P102" s="19">
        <v>708</v>
      </c>
      <c r="Q102" s="20">
        <v>92748</v>
      </c>
      <c r="R102" s="20">
        <v>0</v>
      </c>
      <c r="S102" s="19">
        <v>131</v>
      </c>
      <c r="T102" s="21">
        <v>7.1800000000000003E-2</v>
      </c>
      <c r="U102" s="21">
        <v>7.1099999999999997E-2</v>
      </c>
      <c r="V102" s="20">
        <v>0</v>
      </c>
      <c r="W102" s="20">
        <v>0</v>
      </c>
      <c r="X102" s="22">
        <v>0</v>
      </c>
      <c r="Y102" s="21">
        <v>0.2364</v>
      </c>
      <c r="Z102" s="19">
        <v>9</v>
      </c>
      <c r="AA102" s="19">
        <v>96</v>
      </c>
      <c r="AB102" s="23">
        <v>4</v>
      </c>
    </row>
    <row r="103" spans="1:28" ht="18" customHeight="1" x14ac:dyDescent="0.2">
      <c r="A103" s="19" t="s">
        <v>233</v>
      </c>
      <c r="B103" s="19" t="s">
        <v>221</v>
      </c>
      <c r="C103" s="19" t="s">
        <v>19</v>
      </c>
      <c r="D103" s="19" t="s">
        <v>85</v>
      </c>
      <c r="E103" s="19" t="s">
        <v>114</v>
      </c>
      <c r="F103" s="19" t="s">
        <v>117</v>
      </c>
      <c r="G103" s="19" t="s">
        <v>118</v>
      </c>
      <c r="H103" s="19" t="s">
        <v>58</v>
      </c>
      <c r="I103" s="19">
        <v>208381</v>
      </c>
      <c r="J103" s="19">
        <v>8535</v>
      </c>
      <c r="K103" s="19">
        <v>6696</v>
      </c>
      <c r="L103" s="19">
        <v>1271</v>
      </c>
      <c r="M103" s="19">
        <v>1209</v>
      </c>
      <c r="N103" s="19">
        <v>720</v>
      </c>
      <c r="O103" s="19">
        <v>261</v>
      </c>
      <c r="P103" s="19">
        <v>261</v>
      </c>
      <c r="Q103" s="20">
        <v>42021</v>
      </c>
      <c r="R103" s="20">
        <v>35498</v>
      </c>
      <c r="S103" s="19">
        <v>161</v>
      </c>
      <c r="T103" s="21">
        <v>4.1000000000000002E-2</v>
      </c>
      <c r="U103" s="21">
        <v>3.9E-2</v>
      </c>
      <c r="V103" s="20">
        <v>136.01</v>
      </c>
      <c r="W103" s="20">
        <v>4.16</v>
      </c>
      <c r="X103" s="22">
        <v>1.18</v>
      </c>
      <c r="Y103" s="21">
        <v>0.25729999999999997</v>
      </c>
      <c r="Z103" s="19"/>
      <c r="AA103" s="19">
        <v>92</v>
      </c>
      <c r="AB103" s="23">
        <v>4</v>
      </c>
    </row>
    <row r="104" spans="1:28" ht="18" customHeight="1" x14ac:dyDescent="0.2">
      <c r="A104" s="19" t="s">
        <v>234</v>
      </c>
      <c r="B104" s="19" t="s">
        <v>221</v>
      </c>
      <c r="C104" s="19" t="s">
        <v>17</v>
      </c>
      <c r="D104" s="19" t="s">
        <v>85</v>
      </c>
      <c r="E104" s="19" t="s">
        <v>114</v>
      </c>
      <c r="F104" s="19" t="s">
        <v>92</v>
      </c>
      <c r="G104" s="19" t="s">
        <v>118</v>
      </c>
      <c r="H104" s="19" t="s">
        <v>57</v>
      </c>
      <c r="I104" s="19">
        <v>83457</v>
      </c>
      <c r="J104" s="19">
        <v>3735</v>
      </c>
      <c r="K104" s="19">
        <v>3202</v>
      </c>
      <c r="L104" s="19">
        <v>624</v>
      </c>
      <c r="M104" s="19">
        <v>789</v>
      </c>
      <c r="N104" s="19">
        <v>537</v>
      </c>
      <c r="O104" s="19">
        <v>195</v>
      </c>
      <c r="P104" s="19">
        <v>195</v>
      </c>
      <c r="Q104" s="20">
        <v>18525</v>
      </c>
      <c r="R104" s="20">
        <v>0</v>
      </c>
      <c r="S104" s="19">
        <v>95</v>
      </c>
      <c r="T104" s="21">
        <v>4.48E-2</v>
      </c>
      <c r="U104" s="21">
        <v>6.0900000000000003E-2</v>
      </c>
      <c r="V104" s="20">
        <v>0</v>
      </c>
      <c r="W104" s="20">
        <v>0</v>
      </c>
      <c r="X104" s="22">
        <v>0</v>
      </c>
      <c r="Y104" s="21">
        <v>0.58130000000000004</v>
      </c>
      <c r="Z104" s="19">
        <v>1</v>
      </c>
      <c r="AA104" s="19">
        <v>94</v>
      </c>
      <c r="AB104" s="23">
        <v>4.3</v>
      </c>
    </row>
    <row r="105" spans="1:28" ht="18" customHeight="1" x14ac:dyDescent="0.2">
      <c r="A105" s="19" t="s">
        <v>235</v>
      </c>
      <c r="B105" s="19" t="s">
        <v>221</v>
      </c>
      <c r="C105" s="19" t="s">
        <v>20</v>
      </c>
      <c r="D105" s="19" t="s">
        <v>85</v>
      </c>
      <c r="E105" s="19" t="s">
        <v>114</v>
      </c>
      <c r="F105" s="19" t="s">
        <v>132</v>
      </c>
      <c r="G105" s="19" t="s">
        <v>118</v>
      </c>
      <c r="H105" s="19" t="s">
        <v>58</v>
      </c>
      <c r="I105" s="19">
        <v>267499</v>
      </c>
      <c r="J105" s="19">
        <v>21072</v>
      </c>
      <c r="K105" s="19">
        <v>19110</v>
      </c>
      <c r="L105" s="19">
        <v>1918</v>
      </c>
      <c r="M105" s="19">
        <v>5319</v>
      </c>
      <c r="N105" s="19">
        <v>2683</v>
      </c>
      <c r="O105" s="19">
        <v>868</v>
      </c>
      <c r="P105" s="19">
        <v>868</v>
      </c>
      <c r="Q105" s="20">
        <v>94612</v>
      </c>
      <c r="R105" s="20">
        <v>33991</v>
      </c>
      <c r="S105" s="19">
        <v>109</v>
      </c>
      <c r="T105" s="21">
        <v>7.8799999999999995E-2</v>
      </c>
      <c r="U105" s="21">
        <v>4.5400000000000003E-2</v>
      </c>
      <c r="V105" s="20">
        <v>39.159999999999997</v>
      </c>
      <c r="W105" s="20">
        <v>1.61</v>
      </c>
      <c r="X105" s="22">
        <v>2.78</v>
      </c>
      <c r="Y105" s="21">
        <v>0.28489999999999999</v>
      </c>
      <c r="Z105" s="19"/>
      <c r="AA105" s="19">
        <v>91</v>
      </c>
      <c r="AB105" s="23">
        <v>4.0999999999999996</v>
      </c>
    </row>
    <row r="106" spans="1:28" ht="18" customHeight="1" x14ac:dyDescent="0.2">
      <c r="A106" s="19" t="s">
        <v>236</v>
      </c>
      <c r="B106" s="19" t="s">
        <v>221</v>
      </c>
      <c r="C106" s="19" t="s">
        <v>19</v>
      </c>
      <c r="D106" s="19" t="s">
        <v>102</v>
      </c>
      <c r="E106" s="19" t="s">
        <v>91</v>
      </c>
      <c r="F106" s="19" t="s">
        <v>117</v>
      </c>
      <c r="G106" s="19" t="s">
        <v>100</v>
      </c>
      <c r="H106" s="19" t="s">
        <v>57</v>
      </c>
      <c r="I106" s="19">
        <v>49138</v>
      </c>
      <c r="J106" s="19">
        <v>1455</v>
      </c>
      <c r="K106" s="19">
        <v>1110</v>
      </c>
      <c r="L106" s="19">
        <v>91</v>
      </c>
      <c r="M106" s="19">
        <v>374</v>
      </c>
      <c r="N106" s="19">
        <v>201</v>
      </c>
      <c r="O106" s="19">
        <v>59</v>
      </c>
      <c r="P106" s="19">
        <v>59</v>
      </c>
      <c r="Q106" s="20">
        <v>7670</v>
      </c>
      <c r="R106" s="20">
        <v>7836</v>
      </c>
      <c r="S106" s="19">
        <v>130</v>
      </c>
      <c r="T106" s="21">
        <v>2.9600000000000001E-2</v>
      </c>
      <c r="U106" s="21">
        <v>5.3199999999999997E-2</v>
      </c>
      <c r="V106" s="20">
        <v>132.81</v>
      </c>
      <c r="W106" s="20">
        <v>5.39</v>
      </c>
      <c r="X106" s="22">
        <v>0.98</v>
      </c>
      <c r="Y106" s="21">
        <v>0.54079999999999995</v>
      </c>
      <c r="Z106" s="19"/>
      <c r="AA106" s="19">
        <v>66</v>
      </c>
      <c r="AB106" s="23">
        <v>4</v>
      </c>
    </row>
    <row r="107" spans="1:28" ht="18" customHeight="1" x14ac:dyDescent="0.2">
      <c r="A107" s="19" t="s">
        <v>237</v>
      </c>
      <c r="B107" s="19" t="s">
        <v>221</v>
      </c>
      <c r="C107" s="19" t="s">
        <v>19</v>
      </c>
      <c r="D107" s="19" t="s">
        <v>102</v>
      </c>
      <c r="E107" s="19" t="s">
        <v>116</v>
      </c>
      <c r="F107" s="19" t="s">
        <v>130</v>
      </c>
      <c r="G107" s="19" t="s">
        <v>121</v>
      </c>
      <c r="H107" s="19" t="s">
        <v>57</v>
      </c>
      <c r="I107" s="19">
        <v>206032</v>
      </c>
      <c r="J107" s="19">
        <v>14998</v>
      </c>
      <c r="K107" s="19">
        <v>14412</v>
      </c>
      <c r="L107" s="19">
        <v>3169</v>
      </c>
      <c r="M107" s="19">
        <v>3154</v>
      </c>
      <c r="N107" s="19">
        <v>1583</v>
      </c>
      <c r="O107" s="19">
        <v>744</v>
      </c>
      <c r="P107" s="19">
        <v>744</v>
      </c>
      <c r="Q107" s="20">
        <v>37200</v>
      </c>
      <c r="R107" s="20">
        <v>24886</v>
      </c>
      <c r="S107" s="19">
        <v>50</v>
      </c>
      <c r="T107" s="21">
        <v>7.2800000000000004E-2</v>
      </c>
      <c r="U107" s="21">
        <v>5.16E-2</v>
      </c>
      <c r="V107" s="20">
        <v>33.450000000000003</v>
      </c>
      <c r="W107" s="20">
        <v>1.66</v>
      </c>
      <c r="X107" s="22">
        <v>1.49</v>
      </c>
      <c r="Y107" s="21">
        <v>0.24249999999999999</v>
      </c>
      <c r="Z107" s="19"/>
      <c r="AA107" s="19">
        <v>89</v>
      </c>
      <c r="AB107" s="23">
        <v>4.4000000000000004</v>
      </c>
    </row>
    <row r="108" spans="1:28" ht="18" customHeight="1" x14ac:dyDescent="0.2">
      <c r="A108" s="19" t="s">
        <v>238</v>
      </c>
      <c r="B108" s="19" t="s">
        <v>221</v>
      </c>
      <c r="C108" s="19" t="s">
        <v>18</v>
      </c>
      <c r="D108" s="19" t="s">
        <v>90</v>
      </c>
      <c r="E108" s="19" t="s">
        <v>114</v>
      </c>
      <c r="F108" s="19" t="s">
        <v>108</v>
      </c>
      <c r="G108" s="19" t="s">
        <v>118</v>
      </c>
      <c r="H108" s="19" t="s">
        <v>57</v>
      </c>
      <c r="I108" s="19">
        <v>115758</v>
      </c>
      <c r="J108" s="19">
        <v>5128</v>
      </c>
      <c r="K108" s="19">
        <v>3961</v>
      </c>
      <c r="L108" s="19">
        <v>355</v>
      </c>
      <c r="M108" s="19">
        <v>736</v>
      </c>
      <c r="N108" s="19">
        <v>495</v>
      </c>
      <c r="O108" s="19">
        <v>264</v>
      </c>
      <c r="P108" s="19">
        <v>264</v>
      </c>
      <c r="Q108" s="20">
        <v>37752</v>
      </c>
      <c r="R108" s="20">
        <v>29912</v>
      </c>
      <c r="S108" s="19">
        <v>143</v>
      </c>
      <c r="T108" s="21">
        <v>4.4299999999999999E-2</v>
      </c>
      <c r="U108" s="21">
        <v>6.6600000000000006E-2</v>
      </c>
      <c r="V108" s="20">
        <v>113.3</v>
      </c>
      <c r="W108" s="20">
        <v>5.83</v>
      </c>
      <c r="X108" s="22">
        <v>1.26</v>
      </c>
      <c r="Y108" s="21">
        <v>0.2389</v>
      </c>
      <c r="Z108" s="19"/>
      <c r="AA108" s="19">
        <v>87</v>
      </c>
      <c r="AB108" s="23">
        <v>4.8</v>
      </c>
    </row>
    <row r="109" spans="1:28" ht="18" customHeight="1" x14ac:dyDescent="0.2">
      <c r="A109" s="19" t="s">
        <v>239</v>
      </c>
      <c r="B109" s="19" t="s">
        <v>221</v>
      </c>
      <c r="C109" s="19" t="s">
        <v>22</v>
      </c>
      <c r="D109" s="19" t="s">
        <v>90</v>
      </c>
      <c r="E109" s="19" t="s">
        <v>114</v>
      </c>
      <c r="F109" s="19" t="s">
        <v>112</v>
      </c>
      <c r="G109" s="19" t="s">
        <v>88</v>
      </c>
      <c r="H109" s="19" t="s">
        <v>58</v>
      </c>
      <c r="I109" s="19">
        <v>115581</v>
      </c>
      <c r="J109" s="19">
        <v>1838</v>
      </c>
      <c r="K109" s="19">
        <v>1641</v>
      </c>
      <c r="L109" s="19">
        <v>298</v>
      </c>
      <c r="M109" s="19">
        <v>413</v>
      </c>
      <c r="N109" s="19">
        <v>150</v>
      </c>
      <c r="O109" s="19">
        <v>101</v>
      </c>
      <c r="P109" s="19">
        <v>101</v>
      </c>
      <c r="Q109" s="20">
        <v>5959</v>
      </c>
      <c r="R109" s="20">
        <v>0</v>
      </c>
      <c r="S109" s="19">
        <v>59</v>
      </c>
      <c r="T109" s="21">
        <v>1.5900000000000001E-2</v>
      </c>
      <c r="U109" s="21">
        <v>6.1499999999999999E-2</v>
      </c>
      <c r="V109" s="20">
        <v>0</v>
      </c>
      <c r="W109" s="20">
        <v>0</v>
      </c>
      <c r="X109" s="22">
        <v>0</v>
      </c>
      <c r="Y109" s="21">
        <v>0.24529999999999999</v>
      </c>
      <c r="Z109" s="19"/>
      <c r="AA109" s="19">
        <v>90</v>
      </c>
      <c r="AB109" s="23">
        <v>3.7</v>
      </c>
    </row>
    <row r="110" spans="1:28" ht="18" customHeight="1" x14ac:dyDescent="0.2">
      <c r="A110" s="19" t="s">
        <v>240</v>
      </c>
      <c r="B110" s="19" t="s">
        <v>221</v>
      </c>
      <c r="C110" s="19" t="s">
        <v>19</v>
      </c>
      <c r="D110" s="19" t="s">
        <v>102</v>
      </c>
      <c r="E110" s="19" t="s">
        <v>107</v>
      </c>
      <c r="F110" s="19" t="s">
        <v>105</v>
      </c>
      <c r="G110" s="19" t="s">
        <v>88</v>
      </c>
      <c r="H110" s="19" t="s">
        <v>58</v>
      </c>
      <c r="I110" s="19">
        <v>263659</v>
      </c>
      <c r="J110" s="19">
        <v>10922</v>
      </c>
      <c r="K110" s="19">
        <v>8206</v>
      </c>
      <c r="L110" s="19">
        <v>971</v>
      </c>
      <c r="M110" s="19">
        <v>2336</v>
      </c>
      <c r="N110" s="19">
        <v>1302</v>
      </c>
      <c r="O110" s="19">
        <v>326</v>
      </c>
      <c r="P110" s="19">
        <v>326</v>
      </c>
      <c r="Q110" s="20">
        <v>53790</v>
      </c>
      <c r="R110" s="20">
        <v>21530</v>
      </c>
      <c r="S110" s="19">
        <v>165</v>
      </c>
      <c r="T110" s="21">
        <v>4.1399999999999999E-2</v>
      </c>
      <c r="U110" s="21">
        <v>3.9699999999999999E-2</v>
      </c>
      <c r="V110" s="20">
        <v>66.040000000000006</v>
      </c>
      <c r="W110" s="20">
        <v>1.97</v>
      </c>
      <c r="X110" s="22">
        <v>2.5</v>
      </c>
      <c r="Y110" s="21">
        <v>0.4919</v>
      </c>
      <c r="Z110" s="19"/>
      <c r="AA110" s="19">
        <v>71</v>
      </c>
      <c r="AB110" s="23">
        <v>3.8</v>
      </c>
    </row>
    <row r="111" spans="1:28" ht="18" customHeight="1" x14ac:dyDescent="0.2">
      <c r="A111" s="19" t="s">
        <v>241</v>
      </c>
      <c r="B111" s="19" t="s">
        <v>221</v>
      </c>
      <c r="C111" s="19" t="s">
        <v>22</v>
      </c>
      <c r="D111" s="19" t="s">
        <v>102</v>
      </c>
      <c r="E111" s="19" t="s">
        <v>91</v>
      </c>
      <c r="F111" s="19" t="s">
        <v>120</v>
      </c>
      <c r="G111" s="19" t="s">
        <v>100</v>
      </c>
      <c r="H111" s="19" t="s">
        <v>57</v>
      </c>
      <c r="I111" s="19">
        <v>84233</v>
      </c>
      <c r="J111" s="19">
        <v>4047</v>
      </c>
      <c r="K111" s="19">
        <v>3070</v>
      </c>
      <c r="L111" s="19">
        <v>570</v>
      </c>
      <c r="M111" s="19">
        <v>553</v>
      </c>
      <c r="N111" s="19">
        <v>317</v>
      </c>
      <c r="O111" s="19">
        <v>100</v>
      </c>
      <c r="P111" s="19">
        <v>100</v>
      </c>
      <c r="Q111" s="20">
        <v>15300</v>
      </c>
      <c r="R111" s="20">
        <v>0</v>
      </c>
      <c r="S111" s="19">
        <v>153</v>
      </c>
      <c r="T111" s="21">
        <v>4.8000000000000001E-2</v>
      </c>
      <c r="U111" s="21">
        <v>3.2599999999999997E-2</v>
      </c>
      <c r="V111" s="20">
        <v>0</v>
      </c>
      <c r="W111" s="20">
        <v>0</v>
      </c>
      <c r="X111" s="22">
        <v>0</v>
      </c>
      <c r="Y111" s="21">
        <v>0.63149999999999995</v>
      </c>
      <c r="Z111" s="19"/>
      <c r="AA111" s="19">
        <v>67</v>
      </c>
      <c r="AB111" s="23">
        <v>4.3</v>
      </c>
    </row>
    <row r="112" spans="1:28" ht="18" customHeight="1" x14ac:dyDescent="0.2">
      <c r="A112" s="19" t="s">
        <v>242</v>
      </c>
      <c r="B112" s="19" t="s">
        <v>221</v>
      </c>
      <c r="C112" s="19" t="s">
        <v>22</v>
      </c>
      <c r="D112" s="19" t="s">
        <v>85</v>
      </c>
      <c r="E112" s="19" t="s">
        <v>114</v>
      </c>
      <c r="F112" s="19" t="s">
        <v>120</v>
      </c>
      <c r="G112" s="19" t="s">
        <v>118</v>
      </c>
      <c r="H112" s="19" t="s">
        <v>58</v>
      </c>
      <c r="I112" s="19">
        <v>244294</v>
      </c>
      <c r="J112" s="19">
        <v>18085</v>
      </c>
      <c r="K112" s="19">
        <v>18892</v>
      </c>
      <c r="L112" s="19">
        <v>3219</v>
      </c>
      <c r="M112" s="19">
        <v>5688</v>
      </c>
      <c r="N112" s="19">
        <v>2306</v>
      </c>
      <c r="O112" s="19">
        <v>1043</v>
      </c>
      <c r="P112" s="19">
        <v>1043</v>
      </c>
      <c r="Q112" s="20">
        <v>93870</v>
      </c>
      <c r="R112" s="20">
        <v>0</v>
      </c>
      <c r="S112" s="19">
        <v>90</v>
      </c>
      <c r="T112" s="21">
        <v>7.3999999999999996E-2</v>
      </c>
      <c r="U112" s="21">
        <v>5.5199999999999999E-2</v>
      </c>
      <c r="V112" s="20">
        <v>0</v>
      </c>
      <c r="W112" s="20">
        <v>0</v>
      </c>
      <c r="X112" s="22">
        <v>0</v>
      </c>
      <c r="Y112" s="21">
        <v>0.1807</v>
      </c>
      <c r="Z112" s="19"/>
      <c r="AA112" s="19">
        <v>83</v>
      </c>
      <c r="AB112" s="23">
        <v>3.6</v>
      </c>
    </row>
    <row r="113" spans="1:28" ht="18" customHeight="1" x14ac:dyDescent="0.2">
      <c r="A113" s="19" t="s">
        <v>243</v>
      </c>
      <c r="B113" s="19" t="s">
        <v>221</v>
      </c>
      <c r="C113" s="19" t="s">
        <v>21</v>
      </c>
      <c r="D113" s="19" t="s">
        <v>102</v>
      </c>
      <c r="E113" s="19" t="s">
        <v>91</v>
      </c>
      <c r="F113" s="19" t="s">
        <v>190</v>
      </c>
      <c r="G113" s="19" t="s">
        <v>118</v>
      </c>
      <c r="H113" s="19" t="s">
        <v>58</v>
      </c>
      <c r="I113" s="19">
        <v>72317</v>
      </c>
      <c r="J113" s="19">
        <v>958</v>
      </c>
      <c r="K113" s="19">
        <v>904</v>
      </c>
      <c r="L113" s="19">
        <v>103</v>
      </c>
      <c r="M113" s="19">
        <v>312</v>
      </c>
      <c r="N113" s="19">
        <v>187</v>
      </c>
      <c r="O113" s="19">
        <v>55</v>
      </c>
      <c r="P113" s="19">
        <v>55</v>
      </c>
      <c r="Q113" s="20">
        <v>6655</v>
      </c>
      <c r="R113" s="20">
        <v>0</v>
      </c>
      <c r="S113" s="19">
        <v>121</v>
      </c>
      <c r="T113" s="21">
        <v>1.32E-2</v>
      </c>
      <c r="U113" s="21">
        <v>6.08E-2</v>
      </c>
      <c r="V113" s="20">
        <v>0</v>
      </c>
      <c r="W113" s="20">
        <v>0</v>
      </c>
      <c r="X113" s="22">
        <v>0</v>
      </c>
      <c r="Y113" s="21">
        <v>0.45850000000000002</v>
      </c>
      <c r="Z113" s="19"/>
      <c r="AA113" s="19">
        <v>69</v>
      </c>
      <c r="AB113" s="23">
        <v>4.8</v>
      </c>
    </row>
    <row r="114" spans="1:28" ht="18" customHeight="1" x14ac:dyDescent="0.2">
      <c r="A114" s="19" t="s">
        <v>244</v>
      </c>
      <c r="B114" s="19" t="s">
        <v>221</v>
      </c>
      <c r="C114" s="19" t="s">
        <v>17</v>
      </c>
      <c r="D114" s="19" t="s">
        <v>90</v>
      </c>
      <c r="E114" s="19" t="s">
        <v>95</v>
      </c>
      <c r="F114" s="19" t="s">
        <v>92</v>
      </c>
      <c r="G114" s="19" t="s">
        <v>93</v>
      </c>
      <c r="H114" s="19" t="s">
        <v>57</v>
      </c>
      <c r="I114" s="19">
        <v>180166</v>
      </c>
      <c r="J114" s="19">
        <v>13787</v>
      </c>
      <c r="K114" s="19">
        <v>12920</v>
      </c>
      <c r="L114" s="19">
        <v>2315</v>
      </c>
      <c r="M114" s="19">
        <v>1971</v>
      </c>
      <c r="N114" s="19">
        <v>1224</v>
      </c>
      <c r="O114" s="19">
        <v>678</v>
      </c>
      <c r="P114" s="19">
        <v>678</v>
      </c>
      <c r="Q114" s="20">
        <v>112548</v>
      </c>
      <c r="R114" s="20">
        <v>0</v>
      </c>
      <c r="S114" s="19">
        <v>166</v>
      </c>
      <c r="T114" s="21">
        <v>7.6499999999999999E-2</v>
      </c>
      <c r="U114" s="21">
        <v>5.2499999999999998E-2</v>
      </c>
      <c r="V114" s="20">
        <v>0</v>
      </c>
      <c r="W114" s="20">
        <v>0</v>
      </c>
      <c r="X114" s="22">
        <v>0</v>
      </c>
      <c r="Y114" s="21">
        <v>0.28489999999999999</v>
      </c>
      <c r="Z114" s="19">
        <v>8</v>
      </c>
      <c r="AA114" s="19">
        <v>66</v>
      </c>
      <c r="AB114" s="23">
        <v>4.0999999999999996</v>
      </c>
    </row>
    <row r="115" spans="1:28" ht="18" customHeight="1" x14ac:dyDescent="0.2">
      <c r="A115" s="19" t="s">
        <v>245</v>
      </c>
      <c r="B115" s="19" t="s">
        <v>221</v>
      </c>
      <c r="C115" s="19" t="s">
        <v>20</v>
      </c>
      <c r="D115" s="19" t="s">
        <v>90</v>
      </c>
      <c r="E115" s="19" t="s">
        <v>114</v>
      </c>
      <c r="F115" s="19" t="s">
        <v>134</v>
      </c>
      <c r="G115" s="19" t="s">
        <v>97</v>
      </c>
      <c r="H115" s="19" t="s">
        <v>57</v>
      </c>
      <c r="I115" s="19">
        <v>102886</v>
      </c>
      <c r="J115" s="19">
        <v>1883</v>
      </c>
      <c r="K115" s="19">
        <v>1720</v>
      </c>
      <c r="L115" s="19">
        <v>295</v>
      </c>
      <c r="M115" s="19">
        <v>330</v>
      </c>
      <c r="N115" s="19">
        <v>133</v>
      </c>
      <c r="O115" s="19">
        <v>158</v>
      </c>
      <c r="P115" s="19">
        <v>133</v>
      </c>
      <c r="Q115" s="20">
        <v>19750</v>
      </c>
      <c r="R115" s="20">
        <v>34171</v>
      </c>
      <c r="S115" s="19">
        <v>125</v>
      </c>
      <c r="T115" s="21">
        <v>1.83E-2</v>
      </c>
      <c r="U115" s="21">
        <v>9.1899999999999996E-2</v>
      </c>
      <c r="V115" s="20">
        <v>216.27</v>
      </c>
      <c r="W115" s="20">
        <v>18.149999999999999</v>
      </c>
      <c r="X115" s="22">
        <v>0.57999999999999996</v>
      </c>
      <c r="Y115" s="21">
        <v>0.27629999999999999</v>
      </c>
      <c r="Z115" s="19"/>
      <c r="AA115" s="19">
        <v>83</v>
      </c>
      <c r="AB115" s="23">
        <v>4.0999999999999996</v>
      </c>
    </row>
    <row r="116" spans="1:28" ht="18" customHeight="1" x14ac:dyDescent="0.2">
      <c r="A116" s="19" t="s">
        <v>246</v>
      </c>
      <c r="B116" s="19" t="s">
        <v>221</v>
      </c>
      <c r="C116" s="19" t="s">
        <v>22</v>
      </c>
      <c r="D116" s="19" t="s">
        <v>90</v>
      </c>
      <c r="E116" s="19" t="s">
        <v>107</v>
      </c>
      <c r="F116" s="19" t="s">
        <v>161</v>
      </c>
      <c r="G116" s="19" t="s">
        <v>88</v>
      </c>
      <c r="H116" s="19" t="s">
        <v>58</v>
      </c>
      <c r="I116" s="19">
        <v>53579</v>
      </c>
      <c r="J116" s="19">
        <v>4039</v>
      </c>
      <c r="K116" s="19">
        <v>3832</v>
      </c>
      <c r="L116" s="19">
        <v>514</v>
      </c>
      <c r="M116" s="19">
        <v>833</v>
      </c>
      <c r="N116" s="19">
        <v>558</v>
      </c>
      <c r="O116" s="19">
        <v>76</v>
      </c>
      <c r="P116" s="19">
        <v>76</v>
      </c>
      <c r="Q116" s="20">
        <v>6460</v>
      </c>
      <c r="R116" s="20">
        <v>0</v>
      </c>
      <c r="S116" s="19">
        <v>85</v>
      </c>
      <c r="T116" s="21">
        <v>7.5399999999999995E-2</v>
      </c>
      <c r="U116" s="21">
        <v>1.9800000000000002E-2</v>
      </c>
      <c r="V116" s="20">
        <v>0</v>
      </c>
      <c r="W116" s="20">
        <v>0</v>
      </c>
      <c r="X116" s="22">
        <v>0</v>
      </c>
      <c r="Y116" s="21">
        <v>0.29759999999999998</v>
      </c>
      <c r="Z116" s="19"/>
      <c r="AA116" s="19">
        <v>65</v>
      </c>
      <c r="AB116" s="23">
        <v>4.5</v>
      </c>
    </row>
    <row r="117" spans="1:28" ht="18" customHeight="1" x14ac:dyDescent="0.2">
      <c r="A117" s="19" t="s">
        <v>247</v>
      </c>
      <c r="B117" s="19" t="s">
        <v>221</v>
      </c>
      <c r="C117" s="19" t="s">
        <v>21</v>
      </c>
      <c r="D117" s="19" t="s">
        <v>90</v>
      </c>
      <c r="E117" s="19" t="s">
        <v>86</v>
      </c>
      <c r="F117" s="19" t="s">
        <v>219</v>
      </c>
      <c r="G117" s="19" t="s">
        <v>121</v>
      </c>
      <c r="H117" s="19" t="s">
        <v>57</v>
      </c>
      <c r="I117" s="19">
        <v>117148</v>
      </c>
      <c r="J117" s="19">
        <v>7883</v>
      </c>
      <c r="K117" s="19">
        <v>8214</v>
      </c>
      <c r="L117" s="19">
        <v>1192</v>
      </c>
      <c r="M117" s="19">
        <v>2478</v>
      </c>
      <c r="N117" s="19">
        <v>1589</v>
      </c>
      <c r="O117" s="19">
        <v>418</v>
      </c>
      <c r="P117" s="19">
        <v>418</v>
      </c>
      <c r="Q117" s="20">
        <v>30514</v>
      </c>
      <c r="R117" s="20">
        <v>0</v>
      </c>
      <c r="S117" s="19">
        <v>73</v>
      </c>
      <c r="T117" s="21">
        <v>6.7299999999999999E-2</v>
      </c>
      <c r="U117" s="21">
        <v>5.0900000000000001E-2</v>
      </c>
      <c r="V117" s="20">
        <v>0</v>
      </c>
      <c r="W117" s="20">
        <v>0</v>
      </c>
      <c r="X117" s="22">
        <v>0</v>
      </c>
      <c r="Y117" s="21">
        <v>0.2387</v>
      </c>
      <c r="Z117" s="19"/>
      <c r="AA117" s="19">
        <v>69</v>
      </c>
      <c r="AB117" s="23">
        <v>4.0999999999999996</v>
      </c>
    </row>
    <row r="118" spans="1:28" ht="18" customHeight="1" x14ac:dyDescent="0.2">
      <c r="A118" s="19" t="s">
        <v>248</v>
      </c>
      <c r="B118" s="19" t="s">
        <v>221</v>
      </c>
      <c r="C118" s="19" t="s">
        <v>22</v>
      </c>
      <c r="D118" s="19" t="s">
        <v>85</v>
      </c>
      <c r="E118" s="19" t="s">
        <v>107</v>
      </c>
      <c r="F118" s="19" t="s">
        <v>120</v>
      </c>
      <c r="G118" s="19" t="s">
        <v>93</v>
      </c>
      <c r="H118" s="19" t="s">
        <v>58</v>
      </c>
      <c r="I118" s="19">
        <v>257071</v>
      </c>
      <c r="J118" s="19">
        <v>20336</v>
      </c>
      <c r="K118" s="19">
        <v>19288</v>
      </c>
      <c r="L118" s="19">
        <v>3478</v>
      </c>
      <c r="M118" s="19">
        <v>4129</v>
      </c>
      <c r="N118" s="19">
        <v>2042</v>
      </c>
      <c r="O118" s="19">
        <v>737</v>
      </c>
      <c r="P118" s="19">
        <v>737</v>
      </c>
      <c r="Q118" s="20">
        <v>41272</v>
      </c>
      <c r="R118" s="20">
        <v>0</v>
      </c>
      <c r="S118" s="19">
        <v>56</v>
      </c>
      <c r="T118" s="21">
        <v>7.9100000000000004E-2</v>
      </c>
      <c r="U118" s="21">
        <v>3.8199999999999998E-2</v>
      </c>
      <c r="V118" s="20">
        <v>0</v>
      </c>
      <c r="W118" s="20">
        <v>0</v>
      </c>
      <c r="X118" s="22">
        <v>0</v>
      </c>
      <c r="Y118" s="21">
        <v>0.4405</v>
      </c>
      <c r="Z118" s="19"/>
      <c r="AA118" s="19">
        <v>88</v>
      </c>
      <c r="AB118" s="23">
        <v>4.8</v>
      </c>
    </row>
    <row r="119" spans="1:28" ht="18" customHeight="1" x14ac:dyDescent="0.2">
      <c r="A119" s="19" t="s">
        <v>249</v>
      </c>
      <c r="B119" s="19" t="s">
        <v>221</v>
      </c>
      <c r="C119" s="19" t="s">
        <v>20</v>
      </c>
      <c r="D119" s="19" t="s">
        <v>102</v>
      </c>
      <c r="E119" s="19" t="s">
        <v>114</v>
      </c>
      <c r="F119" s="19" t="s">
        <v>163</v>
      </c>
      <c r="G119" s="19" t="s">
        <v>88</v>
      </c>
      <c r="H119" s="19" t="s">
        <v>58</v>
      </c>
      <c r="I119" s="19">
        <v>204792</v>
      </c>
      <c r="J119" s="19">
        <v>8812</v>
      </c>
      <c r="K119" s="19">
        <v>9377</v>
      </c>
      <c r="L119" s="19">
        <v>1425</v>
      </c>
      <c r="M119" s="19">
        <v>3137</v>
      </c>
      <c r="N119" s="19">
        <v>1628</v>
      </c>
      <c r="O119" s="19">
        <v>675</v>
      </c>
      <c r="P119" s="19">
        <v>675</v>
      </c>
      <c r="Q119" s="20">
        <v>101250</v>
      </c>
      <c r="R119" s="20">
        <v>5736</v>
      </c>
      <c r="S119" s="19">
        <v>150</v>
      </c>
      <c r="T119" s="21">
        <v>4.2999999999999997E-2</v>
      </c>
      <c r="U119" s="21">
        <v>7.1999999999999995E-2</v>
      </c>
      <c r="V119" s="20">
        <v>8.5</v>
      </c>
      <c r="W119" s="20">
        <v>0.65</v>
      </c>
      <c r="X119" s="22">
        <v>17.649999999999999</v>
      </c>
      <c r="Y119" s="21">
        <v>0.51380000000000003</v>
      </c>
      <c r="Z119" s="19"/>
      <c r="AA119" s="19">
        <v>98</v>
      </c>
      <c r="AB119" s="23">
        <v>4.3</v>
      </c>
    </row>
    <row r="120" spans="1:28" ht="18" customHeight="1" x14ac:dyDescent="0.2">
      <c r="A120" s="19" t="s">
        <v>250</v>
      </c>
      <c r="B120" s="19" t="s">
        <v>221</v>
      </c>
      <c r="C120" s="19" t="s">
        <v>22</v>
      </c>
      <c r="D120" s="19" t="s">
        <v>102</v>
      </c>
      <c r="E120" s="19" t="s">
        <v>95</v>
      </c>
      <c r="F120" s="19" t="s">
        <v>112</v>
      </c>
      <c r="G120" s="19" t="s">
        <v>97</v>
      </c>
      <c r="H120" s="19" t="s">
        <v>58</v>
      </c>
      <c r="I120" s="19">
        <v>117260</v>
      </c>
      <c r="J120" s="19">
        <v>3420</v>
      </c>
      <c r="K120" s="19">
        <v>2568</v>
      </c>
      <c r="L120" s="19">
        <v>474</v>
      </c>
      <c r="M120" s="19">
        <v>730</v>
      </c>
      <c r="N120" s="19">
        <v>458</v>
      </c>
      <c r="O120" s="19">
        <v>163</v>
      </c>
      <c r="P120" s="19">
        <v>163</v>
      </c>
      <c r="Q120" s="20">
        <v>21679</v>
      </c>
      <c r="R120" s="20">
        <v>0</v>
      </c>
      <c r="S120" s="19">
        <v>133</v>
      </c>
      <c r="T120" s="21">
        <v>2.92E-2</v>
      </c>
      <c r="U120" s="21">
        <v>6.3500000000000001E-2</v>
      </c>
      <c r="V120" s="20">
        <v>0</v>
      </c>
      <c r="W120" s="20">
        <v>0</v>
      </c>
      <c r="X120" s="22">
        <v>0</v>
      </c>
      <c r="Y120" s="21">
        <v>0.59940000000000004</v>
      </c>
      <c r="Z120" s="19"/>
      <c r="AA120" s="19">
        <v>85</v>
      </c>
      <c r="AB120" s="23">
        <v>4.8</v>
      </c>
    </row>
    <row r="121" spans="1:28" ht="18" customHeight="1" x14ac:dyDescent="0.2">
      <c r="A121" s="19" t="s">
        <v>251</v>
      </c>
      <c r="B121" s="19" t="s">
        <v>221</v>
      </c>
      <c r="C121" s="19" t="s">
        <v>18</v>
      </c>
      <c r="D121" s="19" t="s">
        <v>90</v>
      </c>
      <c r="E121" s="19" t="s">
        <v>107</v>
      </c>
      <c r="F121" s="19" t="s">
        <v>166</v>
      </c>
      <c r="G121" s="19" t="s">
        <v>93</v>
      </c>
      <c r="H121" s="19" t="s">
        <v>57</v>
      </c>
      <c r="I121" s="19">
        <v>202820</v>
      </c>
      <c r="J121" s="19">
        <v>15532</v>
      </c>
      <c r="K121" s="19">
        <v>13203</v>
      </c>
      <c r="L121" s="19">
        <v>2852</v>
      </c>
      <c r="M121" s="19">
        <v>1910</v>
      </c>
      <c r="N121" s="19">
        <v>853</v>
      </c>
      <c r="O121" s="19">
        <v>1019</v>
      </c>
      <c r="P121" s="19">
        <v>853</v>
      </c>
      <c r="Q121" s="20">
        <v>79482</v>
      </c>
      <c r="R121" s="20">
        <v>15546</v>
      </c>
      <c r="S121" s="19">
        <v>78</v>
      </c>
      <c r="T121" s="21">
        <v>7.6600000000000001E-2</v>
      </c>
      <c r="U121" s="21">
        <v>7.7200000000000005E-2</v>
      </c>
      <c r="V121" s="20">
        <v>15.26</v>
      </c>
      <c r="W121" s="20">
        <v>1</v>
      </c>
      <c r="X121" s="22">
        <v>5.1100000000000003</v>
      </c>
      <c r="Y121" s="21">
        <v>0.26200000000000001</v>
      </c>
      <c r="Z121" s="19"/>
      <c r="AA121" s="19">
        <v>70</v>
      </c>
      <c r="AB121" s="23">
        <v>4.3</v>
      </c>
    </row>
    <row r="122" spans="1:28" ht="18" customHeight="1" x14ac:dyDescent="0.2">
      <c r="A122" s="19" t="s">
        <v>252</v>
      </c>
      <c r="B122" s="19" t="s">
        <v>253</v>
      </c>
      <c r="C122" s="19" t="s">
        <v>19</v>
      </c>
      <c r="D122" s="19" t="s">
        <v>102</v>
      </c>
      <c r="E122" s="19" t="s">
        <v>114</v>
      </c>
      <c r="F122" s="19" t="s">
        <v>105</v>
      </c>
      <c r="G122" s="19" t="s">
        <v>97</v>
      </c>
      <c r="H122" s="19" t="s">
        <v>57</v>
      </c>
      <c r="I122" s="19">
        <v>247977</v>
      </c>
      <c r="J122" s="19">
        <v>7837</v>
      </c>
      <c r="K122" s="19">
        <v>7455</v>
      </c>
      <c r="L122" s="19">
        <v>924</v>
      </c>
      <c r="M122" s="19">
        <v>1192</v>
      </c>
      <c r="N122" s="19">
        <v>669</v>
      </c>
      <c r="O122" s="19">
        <v>399</v>
      </c>
      <c r="P122" s="19">
        <v>399</v>
      </c>
      <c r="Q122" s="20">
        <v>58254</v>
      </c>
      <c r="R122" s="20">
        <v>14400</v>
      </c>
      <c r="S122" s="19">
        <v>146</v>
      </c>
      <c r="T122" s="21">
        <v>3.1600000000000003E-2</v>
      </c>
      <c r="U122" s="21">
        <v>5.3499999999999999E-2</v>
      </c>
      <c r="V122" s="20">
        <v>36.090000000000003</v>
      </c>
      <c r="W122" s="20">
        <v>1.84</v>
      </c>
      <c r="X122" s="22">
        <v>4.05</v>
      </c>
      <c r="Y122" s="21">
        <v>0.27900000000000003</v>
      </c>
      <c r="Z122" s="19"/>
      <c r="AA122" s="19">
        <v>70</v>
      </c>
      <c r="AB122" s="23">
        <v>4.5999999999999996</v>
      </c>
    </row>
    <row r="123" spans="1:28" ht="18" customHeight="1" x14ac:dyDescent="0.2">
      <c r="A123" s="19" t="s">
        <v>254</v>
      </c>
      <c r="B123" s="19" t="s">
        <v>253</v>
      </c>
      <c r="C123" s="19" t="s">
        <v>17</v>
      </c>
      <c r="D123" s="19" t="s">
        <v>85</v>
      </c>
      <c r="E123" s="19" t="s">
        <v>116</v>
      </c>
      <c r="F123" s="19" t="s">
        <v>110</v>
      </c>
      <c r="G123" s="19" t="s">
        <v>93</v>
      </c>
      <c r="H123" s="19" t="s">
        <v>58</v>
      </c>
      <c r="I123" s="19">
        <v>241350</v>
      </c>
      <c r="J123" s="19">
        <v>5401</v>
      </c>
      <c r="K123" s="19">
        <v>5477</v>
      </c>
      <c r="L123" s="19">
        <v>454</v>
      </c>
      <c r="M123" s="19">
        <v>1547</v>
      </c>
      <c r="N123" s="19">
        <v>768</v>
      </c>
      <c r="O123" s="19">
        <v>215</v>
      </c>
      <c r="P123" s="19">
        <v>215</v>
      </c>
      <c r="Q123" s="20">
        <v>19350</v>
      </c>
      <c r="R123" s="20">
        <v>0</v>
      </c>
      <c r="S123" s="19">
        <v>90</v>
      </c>
      <c r="T123" s="21">
        <v>2.24E-2</v>
      </c>
      <c r="U123" s="21">
        <v>3.9300000000000002E-2</v>
      </c>
      <c r="V123" s="20">
        <v>0</v>
      </c>
      <c r="W123" s="20">
        <v>0</v>
      </c>
      <c r="X123" s="22">
        <v>0</v>
      </c>
      <c r="Y123" s="21">
        <v>0.49330000000000002</v>
      </c>
      <c r="Z123" s="19">
        <v>29</v>
      </c>
      <c r="AA123" s="19">
        <v>88</v>
      </c>
      <c r="AB123" s="23">
        <v>3.7</v>
      </c>
    </row>
    <row r="124" spans="1:28" ht="18" customHeight="1" x14ac:dyDescent="0.2">
      <c r="A124" s="19" t="s">
        <v>255</v>
      </c>
      <c r="B124" s="19" t="s">
        <v>253</v>
      </c>
      <c r="C124" s="19" t="s">
        <v>18</v>
      </c>
      <c r="D124" s="19" t="s">
        <v>85</v>
      </c>
      <c r="E124" s="19" t="s">
        <v>91</v>
      </c>
      <c r="F124" s="19" t="s">
        <v>176</v>
      </c>
      <c r="G124" s="19" t="s">
        <v>97</v>
      </c>
      <c r="H124" s="19" t="s">
        <v>57</v>
      </c>
      <c r="I124" s="19">
        <v>164243</v>
      </c>
      <c r="J124" s="19">
        <v>8051</v>
      </c>
      <c r="K124" s="19">
        <v>8473</v>
      </c>
      <c r="L124" s="19">
        <v>1181</v>
      </c>
      <c r="M124" s="19">
        <v>2807</v>
      </c>
      <c r="N124" s="19">
        <v>1718</v>
      </c>
      <c r="O124" s="19">
        <v>498</v>
      </c>
      <c r="P124" s="19">
        <v>498</v>
      </c>
      <c r="Q124" s="20">
        <v>29880</v>
      </c>
      <c r="R124" s="20">
        <v>22510</v>
      </c>
      <c r="S124" s="19">
        <v>60</v>
      </c>
      <c r="T124" s="21">
        <v>4.9000000000000002E-2</v>
      </c>
      <c r="U124" s="21">
        <v>5.8799999999999998E-2</v>
      </c>
      <c r="V124" s="20">
        <v>45.2</v>
      </c>
      <c r="W124" s="20">
        <v>2.8</v>
      </c>
      <c r="X124" s="22">
        <v>1.33</v>
      </c>
      <c r="Y124" s="21">
        <v>0.46889999999999998</v>
      </c>
      <c r="Z124" s="19"/>
      <c r="AA124" s="19">
        <v>70</v>
      </c>
      <c r="AB124" s="23">
        <v>4.8</v>
      </c>
    </row>
    <row r="125" spans="1:28" ht="18" customHeight="1" x14ac:dyDescent="0.2">
      <c r="A125" s="19" t="s">
        <v>256</v>
      </c>
      <c r="B125" s="19" t="s">
        <v>253</v>
      </c>
      <c r="C125" s="19" t="s">
        <v>20</v>
      </c>
      <c r="D125" s="19" t="s">
        <v>85</v>
      </c>
      <c r="E125" s="19" t="s">
        <v>95</v>
      </c>
      <c r="F125" s="19" t="s">
        <v>149</v>
      </c>
      <c r="G125" s="19" t="s">
        <v>100</v>
      </c>
      <c r="H125" s="19" t="s">
        <v>58</v>
      </c>
      <c r="I125" s="19">
        <v>58819</v>
      </c>
      <c r="J125" s="19">
        <v>1359</v>
      </c>
      <c r="K125" s="19">
        <v>1144</v>
      </c>
      <c r="L125" s="19">
        <v>246</v>
      </c>
      <c r="M125" s="19">
        <v>191</v>
      </c>
      <c r="N125" s="19">
        <v>69</v>
      </c>
      <c r="O125" s="19">
        <v>89</v>
      </c>
      <c r="P125" s="19">
        <v>69</v>
      </c>
      <c r="Q125" s="20">
        <v>6942</v>
      </c>
      <c r="R125" s="20">
        <v>25273</v>
      </c>
      <c r="S125" s="19">
        <v>78</v>
      </c>
      <c r="T125" s="21">
        <v>2.3099999999999999E-2</v>
      </c>
      <c r="U125" s="21">
        <v>7.7799999999999994E-2</v>
      </c>
      <c r="V125" s="20">
        <v>283.97000000000003</v>
      </c>
      <c r="W125" s="20">
        <v>18.600000000000001</v>
      </c>
      <c r="X125" s="22">
        <v>0.27</v>
      </c>
      <c r="Y125" s="21">
        <v>0.57669999999999999</v>
      </c>
      <c r="Z125" s="19"/>
      <c r="AA125" s="19">
        <v>69</v>
      </c>
      <c r="AB125" s="23">
        <v>4.5999999999999996</v>
      </c>
    </row>
    <row r="126" spans="1:28" ht="18" customHeight="1" x14ac:dyDescent="0.2">
      <c r="A126" s="19" t="s">
        <v>257</v>
      </c>
      <c r="B126" s="19" t="s">
        <v>253</v>
      </c>
      <c r="C126" s="19" t="s">
        <v>21</v>
      </c>
      <c r="D126" s="19" t="s">
        <v>102</v>
      </c>
      <c r="E126" s="19" t="s">
        <v>91</v>
      </c>
      <c r="F126" s="19" t="s">
        <v>123</v>
      </c>
      <c r="G126" s="19" t="s">
        <v>100</v>
      </c>
      <c r="H126" s="19" t="s">
        <v>57</v>
      </c>
      <c r="I126" s="19">
        <v>147344</v>
      </c>
      <c r="J126" s="19">
        <v>5510</v>
      </c>
      <c r="K126" s="19">
        <v>5470</v>
      </c>
      <c r="L126" s="19">
        <v>1003</v>
      </c>
      <c r="M126" s="19">
        <v>1460</v>
      </c>
      <c r="N126" s="19">
        <v>874</v>
      </c>
      <c r="O126" s="19">
        <v>269</v>
      </c>
      <c r="P126" s="19">
        <v>269</v>
      </c>
      <c r="Q126" s="20">
        <v>30128</v>
      </c>
      <c r="R126" s="20">
        <v>0</v>
      </c>
      <c r="S126" s="19">
        <v>112</v>
      </c>
      <c r="T126" s="21">
        <v>3.7400000000000003E-2</v>
      </c>
      <c r="U126" s="21">
        <v>4.9200000000000001E-2</v>
      </c>
      <c r="V126" s="20">
        <v>0</v>
      </c>
      <c r="W126" s="20">
        <v>0</v>
      </c>
      <c r="X126" s="22">
        <v>0</v>
      </c>
      <c r="Y126" s="21">
        <v>0.44059999999999999</v>
      </c>
      <c r="Z126" s="19"/>
      <c r="AA126" s="19">
        <v>95</v>
      </c>
      <c r="AB126" s="23">
        <v>3.7</v>
      </c>
    </row>
    <row r="127" spans="1:28" ht="18" customHeight="1" x14ac:dyDescent="0.2">
      <c r="A127" s="19" t="s">
        <v>258</v>
      </c>
      <c r="B127" s="19" t="s">
        <v>253</v>
      </c>
      <c r="C127" s="19" t="s">
        <v>17</v>
      </c>
      <c r="D127" s="19" t="s">
        <v>90</v>
      </c>
      <c r="E127" s="19" t="s">
        <v>86</v>
      </c>
      <c r="F127" s="19" t="s">
        <v>92</v>
      </c>
      <c r="G127" s="19" t="s">
        <v>97</v>
      </c>
      <c r="H127" s="19" t="s">
        <v>58</v>
      </c>
      <c r="I127" s="19">
        <v>224386</v>
      </c>
      <c r="J127" s="19">
        <v>5565</v>
      </c>
      <c r="K127" s="19">
        <v>4209</v>
      </c>
      <c r="L127" s="19">
        <v>447</v>
      </c>
      <c r="M127" s="19">
        <v>781</v>
      </c>
      <c r="N127" s="19">
        <v>416</v>
      </c>
      <c r="O127" s="19">
        <v>176</v>
      </c>
      <c r="P127" s="19">
        <v>176</v>
      </c>
      <c r="Q127" s="20">
        <v>22528</v>
      </c>
      <c r="R127" s="20">
        <v>0</v>
      </c>
      <c r="S127" s="19">
        <v>128</v>
      </c>
      <c r="T127" s="21">
        <v>2.4799999999999999E-2</v>
      </c>
      <c r="U127" s="21">
        <v>4.1799999999999997E-2</v>
      </c>
      <c r="V127" s="20">
        <v>0</v>
      </c>
      <c r="W127" s="20">
        <v>0</v>
      </c>
      <c r="X127" s="22">
        <v>0</v>
      </c>
      <c r="Y127" s="21">
        <v>0.66639999999999999</v>
      </c>
      <c r="Z127" s="19">
        <v>29</v>
      </c>
      <c r="AA127" s="19">
        <v>84</v>
      </c>
      <c r="AB127" s="23">
        <v>4.8</v>
      </c>
    </row>
    <row r="128" spans="1:28" ht="18" customHeight="1" x14ac:dyDescent="0.2">
      <c r="A128" s="19" t="s">
        <v>259</v>
      </c>
      <c r="B128" s="19" t="s">
        <v>253</v>
      </c>
      <c r="C128" s="19" t="s">
        <v>18</v>
      </c>
      <c r="D128" s="19" t="s">
        <v>90</v>
      </c>
      <c r="E128" s="19" t="s">
        <v>107</v>
      </c>
      <c r="F128" s="19" t="s">
        <v>147</v>
      </c>
      <c r="G128" s="19" t="s">
        <v>118</v>
      </c>
      <c r="H128" s="19" t="s">
        <v>58</v>
      </c>
      <c r="I128" s="19">
        <v>259446</v>
      </c>
      <c r="J128" s="19">
        <v>3147</v>
      </c>
      <c r="K128" s="19">
        <v>2631</v>
      </c>
      <c r="L128" s="19">
        <v>211</v>
      </c>
      <c r="M128" s="19">
        <v>730</v>
      </c>
      <c r="N128" s="19">
        <v>385</v>
      </c>
      <c r="O128" s="19">
        <v>143</v>
      </c>
      <c r="P128" s="19">
        <v>143</v>
      </c>
      <c r="Q128" s="20">
        <v>17589</v>
      </c>
      <c r="R128" s="20">
        <v>23292</v>
      </c>
      <c r="S128" s="19">
        <v>123</v>
      </c>
      <c r="T128" s="21">
        <v>1.21E-2</v>
      </c>
      <c r="U128" s="21">
        <v>5.4399999999999997E-2</v>
      </c>
      <c r="V128" s="20">
        <v>162.88</v>
      </c>
      <c r="W128" s="20">
        <v>7.4</v>
      </c>
      <c r="X128" s="22">
        <v>0.76</v>
      </c>
      <c r="Y128" s="21">
        <v>0.24840000000000001</v>
      </c>
      <c r="Z128" s="19"/>
      <c r="AA128" s="19">
        <v>70</v>
      </c>
      <c r="AB128" s="23">
        <v>4.5</v>
      </c>
    </row>
    <row r="129" spans="1:28" ht="18" customHeight="1" x14ac:dyDescent="0.2">
      <c r="A129" s="19" t="s">
        <v>260</v>
      </c>
      <c r="B129" s="19" t="s">
        <v>253</v>
      </c>
      <c r="C129" s="19" t="s">
        <v>20</v>
      </c>
      <c r="D129" s="19" t="s">
        <v>90</v>
      </c>
      <c r="E129" s="19" t="s">
        <v>91</v>
      </c>
      <c r="F129" s="19" t="s">
        <v>134</v>
      </c>
      <c r="G129" s="19" t="s">
        <v>93</v>
      </c>
      <c r="H129" s="19" t="s">
        <v>58</v>
      </c>
      <c r="I129" s="19">
        <v>163157</v>
      </c>
      <c r="J129" s="19">
        <v>1980</v>
      </c>
      <c r="K129" s="19">
        <v>1748</v>
      </c>
      <c r="L129" s="19">
        <v>357</v>
      </c>
      <c r="M129" s="19">
        <v>330</v>
      </c>
      <c r="N129" s="19">
        <v>205</v>
      </c>
      <c r="O129" s="19">
        <v>132</v>
      </c>
      <c r="P129" s="19">
        <v>132</v>
      </c>
      <c r="Q129" s="20">
        <v>7656</v>
      </c>
      <c r="R129" s="20">
        <v>24197</v>
      </c>
      <c r="S129" s="19">
        <v>58</v>
      </c>
      <c r="T129" s="21">
        <v>1.21E-2</v>
      </c>
      <c r="U129" s="21">
        <v>7.5499999999999998E-2</v>
      </c>
      <c r="V129" s="20">
        <v>183.31</v>
      </c>
      <c r="W129" s="20">
        <v>12.22</v>
      </c>
      <c r="X129" s="22">
        <v>0.32</v>
      </c>
      <c r="Y129" s="21">
        <v>0.41289999999999999</v>
      </c>
      <c r="Z129" s="19"/>
      <c r="AA129" s="19">
        <v>71</v>
      </c>
      <c r="AB129" s="23">
        <v>4.2</v>
      </c>
    </row>
    <row r="130" spans="1:28" ht="18" customHeight="1" x14ac:dyDescent="0.2">
      <c r="A130" s="19" t="s">
        <v>261</v>
      </c>
      <c r="B130" s="19" t="s">
        <v>253</v>
      </c>
      <c r="C130" s="19" t="s">
        <v>17</v>
      </c>
      <c r="D130" s="19" t="s">
        <v>85</v>
      </c>
      <c r="E130" s="19" t="s">
        <v>91</v>
      </c>
      <c r="F130" s="19" t="s">
        <v>144</v>
      </c>
      <c r="G130" s="19" t="s">
        <v>97</v>
      </c>
      <c r="H130" s="19" t="s">
        <v>57</v>
      </c>
      <c r="I130" s="19">
        <v>188207</v>
      </c>
      <c r="J130" s="19">
        <v>3309</v>
      </c>
      <c r="K130" s="19">
        <v>2409</v>
      </c>
      <c r="L130" s="19">
        <v>259</v>
      </c>
      <c r="M130" s="19">
        <v>836</v>
      </c>
      <c r="N130" s="19">
        <v>429</v>
      </c>
      <c r="O130" s="19">
        <v>120</v>
      </c>
      <c r="P130" s="19">
        <v>120</v>
      </c>
      <c r="Q130" s="20">
        <v>16920</v>
      </c>
      <c r="R130" s="20">
        <v>0</v>
      </c>
      <c r="S130" s="19">
        <v>141</v>
      </c>
      <c r="T130" s="21">
        <v>1.7600000000000001E-2</v>
      </c>
      <c r="U130" s="21">
        <v>4.9799999999999997E-2</v>
      </c>
      <c r="V130" s="20">
        <v>0</v>
      </c>
      <c r="W130" s="20">
        <v>0</v>
      </c>
      <c r="X130" s="22">
        <v>0</v>
      </c>
      <c r="Y130" s="21">
        <v>0.34499999999999997</v>
      </c>
      <c r="Z130" s="19">
        <v>7</v>
      </c>
      <c r="AA130" s="19">
        <v>86</v>
      </c>
      <c r="AB130" s="23">
        <v>4.4000000000000004</v>
      </c>
    </row>
    <row r="131" spans="1:28" ht="18" customHeight="1" x14ac:dyDescent="0.2">
      <c r="A131" s="19" t="s">
        <v>262</v>
      </c>
      <c r="B131" s="19" t="s">
        <v>253</v>
      </c>
      <c r="C131" s="19" t="s">
        <v>18</v>
      </c>
      <c r="D131" s="19" t="s">
        <v>85</v>
      </c>
      <c r="E131" s="19" t="s">
        <v>114</v>
      </c>
      <c r="F131" s="19" t="s">
        <v>108</v>
      </c>
      <c r="G131" s="19" t="s">
        <v>88</v>
      </c>
      <c r="H131" s="19" t="s">
        <v>58</v>
      </c>
      <c r="I131" s="19">
        <v>223366</v>
      </c>
      <c r="J131" s="19">
        <v>10215</v>
      </c>
      <c r="K131" s="19">
        <v>9943</v>
      </c>
      <c r="L131" s="19">
        <v>1304</v>
      </c>
      <c r="M131" s="19">
        <v>2710</v>
      </c>
      <c r="N131" s="19">
        <v>1894</v>
      </c>
      <c r="O131" s="19">
        <v>626</v>
      </c>
      <c r="P131" s="19">
        <v>626</v>
      </c>
      <c r="Q131" s="20">
        <v>102038</v>
      </c>
      <c r="R131" s="20">
        <v>16172</v>
      </c>
      <c r="S131" s="19">
        <v>163</v>
      </c>
      <c r="T131" s="21">
        <v>4.5699999999999998E-2</v>
      </c>
      <c r="U131" s="21">
        <v>6.3E-2</v>
      </c>
      <c r="V131" s="20">
        <v>25.83</v>
      </c>
      <c r="W131" s="20">
        <v>1.58</v>
      </c>
      <c r="X131" s="22">
        <v>6.31</v>
      </c>
      <c r="Y131" s="21">
        <v>0.32500000000000001</v>
      </c>
      <c r="Z131" s="19"/>
      <c r="AA131" s="19">
        <v>72</v>
      </c>
      <c r="AB131" s="23">
        <v>4.7</v>
      </c>
    </row>
    <row r="132" spans="1:28" ht="18" customHeight="1" x14ac:dyDescent="0.2">
      <c r="A132" s="19" t="s">
        <v>263</v>
      </c>
      <c r="B132" s="19" t="s">
        <v>253</v>
      </c>
      <c r="C132" s="19" t="s">
        <v>22</v>
      </c>
      <c r="D132" s="19" t="s">
        <v>102</v>
      </c>
      <c r="E132" s="19" t="s">
        <v>107</v>
      </c>
      <c r="F132" s="19" t="s">
        <v>112</v>
      </c>
      <c r="G132" s="19" t="s">
        <v>97</v>
      </c>
      <c r="H132" s="19" t="s">
        <v>58</v>
      </c>
      <c r="I132" s="19">
        <v>198501</v>
      </c>
      <c r="J132" s="19">
        <v>10346</v>
      </c>
      <c r="K132" s="19">
        <v>9255</v>
      </c>
      <c r="L132" s="19">
        <v>1537</v>
      </c>
      <c r="M132" s="19">
        <v>1988</v>
      </c>
      <c r="N132" s="19">
        <v>965</v>
      </c>
      <c r="O132" s="19">
        <v>328</v>
      </c>
      <c r="P132" s="19">
        <v>328</v>
      </c>
      <c r="Q132" s="20">
        <v>48544</v>
      </c>
      <c r="R132" s="20">
        <v>0</v>
      </c>
      <c r="S132" s="19">
        <v>148</v>
      </c>
      <c r="T132" s="21">
        <v>5.21E-2</v>
      </c>
      <c r="U132" s="21">
        <v>3.5400000000000001E-2</v>
      </c>
      <c r="V132" s="20">
        <v>0</v>
      </c>
      <c r="W132" s="20">
        <v>0</v>
      </c>
      <c r="X132" s="22">
        <v>0</v>
      </c>
      <c r="Y132" s="21">
        <v>0.67689999999999995</v>
      </c>
      <c r="Z132" s="19"/>
      <c r="AA132" s="19">
        <v>75</v>
      </c>
      <c r="AB132" s="23">
        <v>4.9000000000000004</v>
      </c>
    </row>
    <row r="133" spans="1:28" ht="18" customHeight="1" x14ac:dyDescent="0.2">
      <c r="A133" s="19" t="s">
        <v>264</v>
      </c>
      <c r="B133" s="19" t="s">
        <v>253</v>
      </c>
      <c r="C133" s="19" t="s">
        <v>21</v>
      </c>
      <c r="D133" s="19" t="s">
        <v>90</v>
      </c>
      <c r="E133" s="19" t="s">
        <v>95</v>
      </c>
      <c r="F133" s="19" t="s">
        <v>96</v>
      </c>
      <c r="G133" s="19" t="s">
        <v>88</v>
      </c>
      <c r="H133" s="19" t="s">
        <v>57</v>
      </c>
      <c r="I133" s="19">
        <v>234583</v>
      </c>
      <c r="J133" s="19">
        <v>19759</v>
      </c>
      <c r="K133" s="19">
        <v>16265</v>
      </c>
      <c r="L133" s="19">
        <v>3505</v>
      </c>
      <c r="M133" s="19">
        <v>4946</v>
      </c>
      <c r="N133" s="19">
        <v>2414</v>
      </c>
      <c r="O133" s="19">
        <v>1296</v>
      </c>
      <c r="P133" s="19">
        <v>1296</v>
      </c>
      <c r="Q133" s="20">
        <v>69984</v>
      </c>
      <c r="R133" s="20">
        <v>0</v>
      </c>
      <c r="S133" s="19">
        <v>54</v>
      </c>
      <c r="T133" s="21">
        <v>8.4199999999999997E-2</v>
      </c>
      <c r="U133" s="21">
        <v>7.9699999999999993E-2</v>
      </c>
      <c r="V133" s="20">
        <v>0</v>
      </c>
      <c r="W133" s="20">
        <v>0</v>
      </c>
      <c r="X133" s="22">
        <v>0</v>
      </c>
      <c r="Y133" s="21">
        <v>0.27189999999999998</v>
      </c>
      <c r="Z133" s="19"/>
      <c r="AA133" s="19">
        <v>86</v>
      </c>
      <c r="AB133" s="23">
        <v>3.8</v>
      </c>
    </row>
    <row r="134" spans="1:28" ht="18" customHeight="1" x14ac:dyDescent="0.2">
      <c r="A134" s="19" t="s">
        <v>265</v>
      </c>
      <c r="B134" s="19" t="s">
        <v>253</v>
      </c>
      <c r="C134" s="19" t="s">
        <v>19</v>
      </c>
      <c r="D134" s="19" t="s">
        <v>90</v>
      </c>
      <c r="E134" s="19" t="s">
        <v>95</v>
      </c>
      <c r="F134" s="19" t="s">
        <v>231</v>
      </c>
      <c r="G134" s="19" t="s">
        <v>97</v>
      </c>
      <c r="H134" s="19" t="s">
        <v>57</v>
      </c>
      <c r="I134" s="19">
        <v>218328</v>
      </c>
      <c r="J134" s="19">
        <v>4536</v>
      </c>
      <c r="K134" s="19">
        <v>3954</v>
      </c>
      <c r="L134" s="19">
        <v>793</v>
      </c>
      <c r="M134" s="19">
        <v>1381</v>
      </c>
      <c r="N134" s="19">
        <v>553</v>
      </c>
      <c r="O134" s="19">
        <v>116</v>
      </c>
      <c r="P134" s="19">
        <v>116</v>
      </c>
      <c r="Q134" s="20">
        <v>15196</v>
      </c>
      <c r="R134" s="20">
        <v>34356</v>
      </c>
      <c r="S134" s="19">
        <v>131</v>
      </c>
      <c r="T134" s="21">
        <v>2.0799999999999999E-2</v>
      </c>
      <c r="U134" s="21">
        <v>2.93E-2</v>
      </c>
      <c r="V134" s="20">
        <v>296.17</v>
      </c>
      <c r="W134" s="20">
        <v>7.57</v>
      </c>
      <c r="X134" s="22">
        <v>0.44</v>
      </c>
      <c r="Y134" s="21">
        <v>0.27950000000000003</v>
      </c>
      <c r="Z134" s="19"/>
      <c r="AA134" s="19">
        <v>68</v>
      </c>
      <c r="AB134" s="23">
        <v>3.8</v>
      </c>
    </row>
    <row r="135" spans="1:28" ht="18" customHeight="1" x14ac:dyDescent="0.2">
      <c r="A135" s="19" t="s">
        <v>266</v>
      </c>
      <c r="B135" s="19" t="s">
        <v>253</v>
      </c>
      <c r="C135" s="19" t="s">
        <v>18</v>
      </c>
      <c r="D135" s="19" t="s">
        <v>102</v>
      </c>
      <c r="E135" s="19" t="s">
        <v>114</v>
      </c>
      <c r="F135" s="19" t="s">
        <v>166</v>
      </c>
      <c r="G135" s="19" t="s">
        <v>93</v>
      </c>
      <c r="H135" s="19" t="s">
        <v>57</v>
      </c>
      <c r="I135" s="19">
        <v>103455</v>
      </c>
      <c r="J135" s="19">
        <v>4967</v>
      </c>
      <c r="K135" s="19">
        <v>5173</v>
      </c>
      <c r="L135" s="19">
        <v>767</v>
      </c>
      <c r="M135" s="19">
        <v>854</v>
      </c>
      <c r="N135" s="19">
        <v>384</v>
      </c>
      <c r="O135" s="19">
        <v>217</v>
      </c>
      <c r="P135" s="19">
        <v>217</v>
      </c>
      <c r="Q135" s="20">
        <v>26908</v>
      </c>
      <c r="R135" s="20">
        <v>9603</v>
      </c>
      <c r="S135" s="19">
        <v>124</v>
      </c>
      <c r="T135" s="21">
        <v>4.8000000000000001E-2</v>
      </c>
      <c r="U135" s="21">
        <v>4.19E-2</v>
      </c>
      <c r="V135" s="20">
        <v>44.25</v>
      </c>
      <c r="W135" s="20">
        <v>1.93</v>
      </c>
      <c r="X135" s="22">
        <v>2.8</v>
      </c>
      <c r="Y135" s="21">
        <v>0.42259999999999998</v>
      </c>
      <c r="Z135" s="19"/>
      <c r="AA135" s="19">
        <v>84</v>
      </c>
      <c r="AB135" s="23">
        <v>4.3</v>
      </c>
    </row>
    <row r="136" spans="1:28" ht="18" customHeight="1" x14ac:dyDescent="0.2">
      <c r="A136" s="19" t="s">
        <v>267</v>
      </c>
      <c r="B136" s="19" t="s">
        <v>253</v>
      </c>
      <c r="C136" s="19" t="s">
        <v>21</v>
      </c>
      <c r="D136" s="19" t="s">
        <v>85</v>
      </c>
      <c r="E136" s="19" t="s">
        <v>95</v>
      </c>
      <c r="F136" s="19" t="s">
        <v>99</v>
      </c>
      <c r="G136" s="19" t="s">
        <v>88</v>
      </c>
      <c r="H136" s="19" t="s">
        <v>57</v>
      </c>
      <c r="I136" s="19">
        <v>144375</v>
      </c>
      <c r="J136" s="19">
        <v>11765</v>
      </c>
      <c r="K136" s="19">
        <v>8566</v>
      </c>
      <c r="L136" s="19">
        <v>1691</v>
      </c>
      <c r="M136" s="19">
        <v>1970</v>
      </c>
      <c r="N136" s="19">
        <v>1073</v>
      </c>
      <c r="O136" s="19">
        <v>472</v>
      </c>
      <c r="P136" s="19">
        <v>472</v>
      </c>
      <c r="Q136" s="20">
        <v>29736</v>
      </c>
      <c r="R136" s="20">
        <v>0</v>
      </c>
      <c r="S136" s="19">
        <v>63</v>
      </c>
      <c r="T136" s="21">
        <v>8.1500000000000003E-2</v>
      </c>
      <c r="U136" s="21">
        <v>5.5100000000000003E-2</v>
      </c>
      <c r="V136" s="20">
        <v>0</v>
      </c>
      <c r="W136" s="20">
        <v>0</v>
      </c>
      <c r="X136" s="22">
        <v>0</v>
      </c>
      <c r="Y136" s="21">
        <v>0.21940000000000001</v>
      </c>
      <c r="Z136" s="19"/>
      <c r="AA136" s="19">
        <v>71</v>
      </c>
      <c r="AB136" s="23">
        <v>4.8</v>
      </c>
    </row>
    <row r="137" spans="1:28" ht="18" customHeight="1" x14ac:dyDescent="0.2">
      <c r="A137" s="19" t="s">
        <v>268</v>
      </c>
      <c r="B137" s="19" t="s">
        <v>253</v>
      </c>
      <c r="C137" s="19" t="s">
        <v>18</v>
      </c>
      <c r="D137" s="19" t="s">
        <v>102</v>
      </c>
      <c r="E137" s="19" t="s">
        <v>107</v>
      </c>
      <c r="F137" s="19" t="s">
        <v>87</v>
      </c>
      <c r="G137" s="19" t="s">
        <v>121</v>
      </c>
      <c r="H137" s="19" t="s">
        <v>58</v>
      </c>
      <c r="I137" s="19">
        <v>27911</v>
      </c>
      <c r="J137" s="19">
        <v>2055</v>
      </c>
      <c r="K137" s="19">
        <v>2085</v>
      </c>
      <c r="L137" s="19">
        <v>253</v>
      </c>
      <c r="M137" s="19">
        <v>507</v>
      </c>
      <c r="N137" s="19">
        <v>258</v>
      </c>
      <c r="O137" s="19">
        <v>97</v>
      </c>
      <c r="P137" s="19">
        <v>97</v>
      </c>
      <c r="Q137" s="20">
        <v>12416</v>
      </c>
      <c r="R137" s="20">
        <v>26632</v>
      </c>
      <c r="S137" s="19">
        <v>128</v>
      </c>
      <c r="T137" s="21">
        <v>7.3599999999999999E-2</v>
      </c>
      <c r="U137" s="21">
        <v>4.65E-2</v>
      </c>
      <c r="V137" s="20">
        <v>274.56</v>
      </c>
      <c r="W137" s="20">
        <v>12.96</v>
      </c>
      <c r="X137" s="22">
        <v>0.47</v>
      </c>
      <c r="Y137" s="21">
        <v>0.35770000000000002</v>
      </c>
      <c r="Z137" s="19"/>
      <c r="AA137" s="19">
        <v>91</v>
      </c>
      <c r="AB137" s="23">
        <v>3.6</v>
      </c>
    </row>
    <row r="138" spans="1:28" ht="18" customHeight="1" x14ac:dyDescent="0.2">
      <c r="A138" s="19" t="s">
        <v>269</v>
      </c>
      <c r="B138" s="19" t="s">
        <v>253</v>
      </c>
      <c r="C138" s="19" t="s">
        <v>21</v>
      </c>
      <c r="D138" s="19" t="s">
        <v>85</v>
      </c>
      <c r="E138" s="19" t="s">
        <v>91</v>
      </c>
      <c r="F138" s="19" t="s">
        <v>99</v>
      </c>
      <c r="G138" s="19" t="s">
        <v>121</v>
      </c>
      <c r="H138" s="19" t="s">
        <v>58</v>
      </c>
      <c r="I138" s="19">
        <v>242259</v>
      </c>
      <c r="J138" s="19">
        <v>16897</v>
      </c>
      <c r="K138" s="19">
        <v>15006</v>
      </c>
      <c r="L138" s="19">
        <v>2186</v>
      </c>
      <c r="M138" s="19">
        <v>3817</v>
      </c>
      <c r="N138" s="19">
        <v>2580</v>
      </c>
      <c r="O138" s="19">
        <v>1022</v>
      </c>
      <c r="P138" s="19">
        <v>1022</v>
      </c>
      <c r="Q138" s="20">
        <v>62342</v>
      </c>
      <c r="R138" s="20">
        <v>0</v>
      </c>
      <c r="S138" s="19">
        <v>61</v>
      </c>
      <c r="T138" s="21">
        <v>6.9699999999999998E-2</v>
      </c>
      <c r="U138" s="21">
        <v>6.8099999999999994E-2</v>
      </c>
      <c r="V138" s="20">
        <v>0</v>
      </c>
      <c r="W138" s="20">
        <v>0</v>
      </c>
      <c r="X138" s="22">
        <v>0</v>
      </c>
      <c r="Y138" s="21">
        <v>0.45850000000000002</v>
      </c>
      <c r="Z138" s="19"/>
      <c r="AA138" s="19">
        <v>85</v>
      </c>
      <c r="AB138" s="23">
        <v>4.5999999999999996</v>
      </c>
    </row>
    <row r="139" spans="1:28" ht="18" customHeight="1" x14ac:dyDescent="0.2">
      <c r="A139" s="19" t="s">
        <v>270</v>
      </c>
      <c r="B139" s="19" t="s">
        <v>253</v>
      </c>
      <c r="C139" s="19" t="s">
        <v>17</v>
      </c>
      <c r="D139" s="19" t="s">
        <v>85</v>
      </c>
      <c r="E139" s="19" t="s">
        <v>91</v>
      </c>
      <c r="F139" s="19" t="s">
        <v>144</v>
      </c>
      <c r="G139" s="19" t="s">
        <v>118</v>
      </c>
      <c r="H139" s="19" t="s">
        <v>57</v>
      </c>
      <c r="I139" s="19">
        <v>269871</v>
      </c>
      <c r="J139" s="19">
        <v>19922</v>
      </c>
      <c r="K139" s="19">
        <v>15400</v>
      </c>
      <c r="L139" s="19">
        <v>2367</v>
      </c>
      <c r="M139" s="19">
        <v>2621</v>
      </c>
      <c r="N139" s="19">
        <v>989</v>
      </c>
      <c r="O139" s="19">
        <v>810</v>
      </c>
      <c r="P139" s="19">
        <v>810</v>
      </c>
      <c r="Q139" s="20">
        <v>56700</v>
      </c>
      <c r="R139" s="20">
        <v>0</v>
      </c>
      <c r="S139" s="19">
        <v>70</v>
      </c>
      <c r="T139" s="21">
        <v>7.3800000000000004E-2</v>
      </c>
      <c r="U139" s="21">
        <v>5.2600000000000001E-2</v>
      </c>
      <c r="V139" s="20">
        <v>0</v>
      </c>
      <c r="W139" s="20">
        <v>0</v>
      </c>
      <c r="X139" s="22">
        <v>0</v>
      </c>
      <c r="Y139" s="21">
        <v>0.52390000000000003</v>
      </c>
      <c r="Z139" s="19">
        <v>21</v>
      </c>
      <c r="AA139" s="19">
        <v>65</v>
      </c>
      <c r="AB139" s="23">
        <v>4.5</v>
      </c>
    </row>
    <row r="140" spans="1:28" ht="18" customHeight="1" x14ac:dyDescent="0.2">
      <c r="A140" s="19" t="s">
        <v>271</v>
      </c>
      <c r="B140" s="19" t="s">
        <v>253</v>
      </c>
      <c r="C140" s="19" t="s">
        <v>17</v>
      </c>
      <c r="D140" s="19" t="s">
        <v>102</v>
      </c>
      <c r="E140" s="19" t="s">
        <v>107</v>
      </c>
      <c r="F140" s="19" t="s">
        <v>110</v>
      </c>
      <c r="G140" s="19" t="s">
        <v>88</v>
      </c>
      <c r="H140" s="19" t="s">
        <v>57</v>
      </c>
      <c r="I140" s="19">
        <v>83751</v>
      </c>
      <c r="J140" s="19">
        <v>6005</v>
      </c>
      <c r="K140" s="19">
        <v>6308</v>
      </c>
      <c r="L140" s="19">
        <v>791</v>
      </c>
      <c r="M140" s="19">
        <v>1372</v>
      </c>
      <c r="N140" s="19">
        <v>917</v>
      </c>
      <c r="O140" s="19">
        <v>360</v>
      </c>
      <c r="P140" s="19">
        <v>360</v>
      </c>
      <c r="Q140" s="20">
        <v>28080</v>
      </c>
      <c r="R140" s="20">
        <v>0</v>
      </c>
      <c r="S140" s="19">
        <v>78</v>
      </c>
      <c r="T140" s="21">
        <v>7.17E-2</v>
      </c>
      <c r="U140" s="21">
        <v>5.7099999999999998E-2</v>
      </c>
      <c r="V140" s="20">
        <v>0</v>
      </c>
      <c r="W140" s="20">
        <v>0</v>
      </c>
      <c r="X140" s="22">
        <v>0</v>
      </c>
      <c r="Y140" s="21">
        <v>0.61750000000000005</v>
      </c>
      <c r="Z140" s="19">
        <v>19</v>
      </c>
      <c r="AA140" s="19">
        <v>92</v>
      </c>
      <c r="AB140" s="23">
        <v>4.4000000000000004</v>
      </c>
    </row>
    <row r="141" spans="1:28" ht="18" customHeight="1" x14ac:dyDescent="0.2">
      <c r="A141" s="19" t="s">
        <v>272</v>
      </c>
      <c r="B141" s="19" t="s">
        <v>253</v>
      </c>
      <c r="C141" s="19" t="s">
        <v>22</v>
      </c>
      <c r="D141" s="19" t="s">
        <v>85</v>
      </c>
      <c r="E141" s="19" t="s">
        <v>86</v>
      </c>
      <c r="F141" s="19" t="s">
        <v>161</v>
      </c>
      <c r="G141" s="19" t="s">
        <v>118</v>
      </c>
      <c r="H141" s="19" t="s">
        <v>57</v>
      </c>
      <c r="I141" s="19">
        <v>135874</v>
      </c>
      <c r="J141" s="19">
        <v>3579</v>
      </c>
      <c r="K141" s="19">
        <v>3712</v>
      </c>
      <c r="L141" s="19">
        <v>588</v>
      </c>
      <c r="M141" s="19">
        <v>1269</v>
      </c>
      <c r="N141" s="19">
        <v>461</v>
      </c>
      <c r="O141" s="19">
        <v>145</v>
      </c>
      <c r="P141" s="19">
        <v>145</v>
      </c>
      <c r="Q141" s="20">
        <v>21750</v>
      </c>
      <c r="R141" s="20">
        <v>0</v>
      </c>
      <c r="S141" s="19">
        <v>150</v>
      </c>
      <c r="T141" s="21">
        <v>2.63E-2</v>
      </c>
      <c r="U141" s="21">
        <v>3.9100000000000003E-2</v>
      </c>
      <c r="V141" s="20">
        <v>0</v>
      </c>
      <c r="W141" s="20">
        <v>0</v>
      </c>
      <c r="X141" s="22">
        <v>0</v>
      </c>
      <c r="Y141" s="21">
        <v>0.35020000000000001</v>
      </c>
      <c r="Z141" s="19"/>
      <c r="AA141" s="19">
        <v>62</v>
      </c>
      <c r="AB141" s="23">
        <v>3.8</v>
      </c>
    </row>
    <row r="142" spans="1:28" ht="18" customHeight="1" x14ac:dyDescent="0.2">
      <c r="A142" s="19" t="s">
        <v>273</v>
      </c>
      <c r="B142" s="19" t="s">
        <v>253</v>
      </c>
      <c r="C142" s="19" t="s">
        <v>17</v>
      </c>
      <c r="D142" s="19" t="s">
        <v>85</v>
      </c>
      <c r="E142" s="19" t="s">
        <v>114</v>
      </c>
      <c r="F142" s="19" t="s">
        <v>144</v>
      </c>
      <c r="G142" s="19" t="s">
        <v>93</v>
      </c>
      <c r="H142" s="19" t="s">
        <v>57</v>
      </c>
      <c r="I142" s="19">
        <v>202433</v>
      </c>
      <c r="J142" s="19">
        <v>13363</v>
      </c>
      <c r="K142" s="19">
        <v>10399</v>
      </c>
      <c r="L142" s="19">
        <v>1346</v>
      </c>
      <c r="M142" s="19">
        <v>1967</v>
      </c>
      <c r="N142" s="19">
        <v>1136</v>
      </c>
      <c r="O142" s="19">
        <v>415</v>
      </c>
      <c r="P142" s="19">
        <v>415</v>
      </c>
      <c r="Q142" s="20">
        <v>53535</v>
      </c>
      <c r="R142" s="20">
        <v>0</v>
      </c>
      <c r="S142" s="19">
        <v>129</v>
      </c>
      <c r="T142" s="21">
        <v>6.6000000000000003E-2</v>
      </c>
      <c r="U142" s="21">
        <v>3.9899999999999998E-2</v>
      </c>
      <c r="V142" s="20">
        <v>0</v>
      </c>
      <c r="W142" s="20">
        <v>0</v>
      </c>
      <c r="X142" s="22">
        <v>0</v>
      </c>
      <c r="Y142" s="21">
        <v>0.23499999999999999</v>
      </c>
      <c r="Z142" s="19">
        <v>7</v>
      </c>
      <c r="AA142" s="19">
        <v>77</v>
      </c>
      <c r="AB142" s="23">
        <v>3.9</v>
      </c>
    </row>
    <row r="143" spans="1:28" ht="18" customHeight="1" x14ac:dyDescent="0.2">
      <c r="A143" s="19" t="s">
        <v>274</v>
      </c>
      <c r="B143" s="19" t="s">
        <v>253</v>
      </c>
      <c r="C143" s="19" t="s">
        <v>22</v>
      </c>
      <c r="D143" s="19" t="s">
        <v>90</v>
      </c>
      <c r="E143" s="19" t="s">
        <v>116</v>
      </c>
      <c r="F143" s="19" t="s">
        <v>120</v>
      </c>
      <c r="G143" s="19" t="s">
        <v>88</v>
      </c>
      <c r="H143" s="19" t="s">
        <v>57</v>
      </c>
      <c r="I143" s="19">
        <v>159476</v>
      </c>
      <c r="J143" s="19">
        <v>10424</v>
      </c>
      <c r="K143" s="19">
        <v>10330</v>
      </c>
      <c r="L143" s="19">
        <v>1980</v>
      </c>
      <c r="M143" s="19">
        <v>2825</v>
      </c>
      <c r="N143" s="19">
        <v>1913</v>
      </c>
      <c r="O143" s="19">
        <v>392</v>
      </c>
      <c r="P143" s="19">
        <v>392</v>
      </c>
      <c r="Q143" s="20">
        <v>56056</v>
      </c>
      <c r="R143" s="20">
        <v>0</v>
      </c>
      <c r="S143" s="19">
        <v>143</v>
      </c>
      <c r="T143" s="21">
        <v>6.54E-2</v>
      </c>
      <c r="U143" s="21">
        <v>3.7900000000000003E-2</v>
      </c>
      <c r="V143" s="20">
        <v>0</v>
      </c>
      <c r="W143" s="20">
        <v>0</v>
      </c>
      <c r="X143" s="22">
        <v>0</v>
      </c>
      <c r="Y143" s="21">
        <v>0.60829999999999995</v>
      </c>
      <c r="Z143" s="19"/>
      <c r="AA143" s="19">
        <v>98</v>
      </c>
      <c r="AB143" s="23">
        <v>4.5999999999999996</v>
      </c>
    </row>
    <row r="144" spans="1:28" ht="18" customHeight="1" x14ac:dyDescent="0.2">
      <c r="A144" s="19" t="s">
        <v>275</v>
      </c>
      <c r="B144" s="19" t="s">
        <v>253</v>
      </c>
      <c r="C144" s="19" t="s">
        <v>20</v>
      </c>
      <c r="D144" s="19" t="s">
        <v>90</v>
      </c>
      <c r="E144" s="19" t="s">
        <v>116</v>
      </c>
      <c r="F144" s="19" t="s">
        <v>142</v>
      </c>
      <c r="G144" s="19" t="s">
        <v>121</v>
      </c>
      <c r="H144" s="19" t="s">
        <v>57</v>
      </c>
      <c r="I144" s="19">
        <v>92550</v>
      </c>
      <c r="J144" s="19">
        <v>1690</v>
      </c>
      <c r="K144" s="19">
        <v>1814</v>
      </c>
      <c r="L144" s="19">
        <v>217</v>
      </c>
      <c r="M144" s="19">
        <v>297</v>
      </c>
      <c r="N144" s="19">
        <v>188</v>
      </c>
      <c r="O144" s="19">
        <v>179</v>
      </c>
      <c r="P144" s="19">
        <v>179</v>
      </c>
      <c r="Q144" s="20">
        <v>16110</v>
      </c>
      <c r="R144" s="20">
        <v>36261</v>
      </c>
      <c r="S144" s="19">
        <v>90</v>
      </c>
      <c r="T144" s="21">
        <v>1.83E-2</v>
      </c>
      <c r="U144" s="21">
        <v>9.8699999999999996E-2</v>
      </c>
      <c r="V144" s="20">
        <v>202.58</v>
      </c>
      <c r="W144" s="20">
        <v>21.46</v>
      </c>
      <c r="X144" s="22">
        <v>0.44</v>
      </c>
      <c r="Y144" s="21">
        <v>0.34229999999999999</v>
      </c>
      <c r="Z144" s="19"/>
      <c r="AA144" s="19">
        <v>90</v>
      </c>
      <c r="AB144" s="23">
        <v>3.7</v>
      </c>
    </row>
    <row r="145" spans="1:28" ht="18" customHeight="1" x14ac:dyDescent="0.2">
      <c r="A145" s="19" t="s">
        <v>276</v>
      </c>
      <c r="B145" s="19" t="s">
        <v>253</v>
      </c>
      <c r="C145" s="19" t="s">
        <v>19</v>
      </c>
      <c r="D145" s="19" t="s">
        <v>90</v>
      </c>
      <c r="E145" s="19" t="s">
        <v>95</v>
      </c>
      <c r="F145" s="19" t="s">
        <v>192</v>
      </c>
      <c r="G145" s="19" t="s">
        <v>121</v>
      </c>
      <c r="H145" s="19" t="s">
        <v>58</v>
      </c>
      <c r="I145" s="19">
        <v>112527</v>
      </c>
      <c r="J145" s="19">
        <v>6845</v>
      </c>
      <c r="K145" s="19">
        <v>6113</v>
      </c>
      <c r="L145" s="19">
        <v>1157</v>
      </c>
      <c r="M145" s="19">
        <v>1692</v>
      </c>
      <c r="N145" s="19">
        <v>698</v>
      </c>
      <c r="O145" s="19">
        <v>357</v>
      </c>
      <c r="P145" s="19">
        <v>357</v>
      </c>
      <c r="Q145" s="20">
        <v>55335</v>
      </c>
      <c r="R145" s="20">
        <v>22004</v>
      </c>
      <c r="S145" s="19">
        <v>155</v>
      </c>
      <c r="T145" s="21">
        <v>6.08E-2</v>
      </c>
      <c r="U145" s="21">
        <v>5.8400000000000001E-2</v>
      </c>
      <c r="V145" s="20">
        <v>61.64</v>
      </c>
      <c r="W145" s="20">
        <v>3.21</v>
      </c>
      <c r="X145" s="22">
        <v>2.5099999999999998</v>
      </c>
      <c r="Y145" s="21">
        <v>0.58030000000000004</v>
      </c>
      <c r="Z145" s="19"/>
      <c r="AA145" s="19">
        <v>97</v>
      </c>
      <c r="AB145" s="23">
        <v>4.3</v>
      </c>
    </row>
    <row r="146" spans="1:28" ht="18" customHeight="1" x14ac:dyDescent="0.2">
      <c r="A146" s="19" t="s">
        <v>277</v>
      </c>
      <c r="B146" s="19" t="s">
        <v>253</v>
      </c>
      <c r="C146" s="19" t="s">
        <v>21</v>
      </c>
      <c r="D146" s="19" t="s">
        <v>85</v>
      </c>
      <c r="E146" s="19" t="s">
        <v>107</v>
      </c>
      <c r="F146" s="19" t="s">
        <v>190</v>
      </c>
      <c r="G146" s="19" t="s">
        <v>93</v>
      </c>
      <c r="H146" s="19" t="s">
        <v>58</v>
      </c>
      <c r="I146" s="19">
        <v>22950</v>
      </c>
      <c r="J146" s="19">
        <v>344</v>
      </c>
      <c r="K146" s="19">
        <v>259</v>
      </c>
      <c r="L146" s="19">
        <v>48</v>
      </c>
      <c r="M146" s="19">
        <v>46</v>
      </c>
      <c r="N146" s="19">
        <v>28</v>
      </c>
      <c r="O146" s="19">
        <v>15</v>
      </c>
      <c r="P146" s="19">
        <v>15</v>
      </c>
      <c r="Q146" s="20">
        <v>2445</v>
      </c>
      <c r="R146" s="20">
        <v>0</v>
      </c>
      <c r="S146" s="19">
        <v>163</v>
      </c>
      <c r="T146" s="21">
        <v>1.4999999999999999E-2</v>
      </c>
      <c r="U146" s="21">
        <v>5.79E-2</v>
      </c>
      <c r="V146" s="20">
        <v>0</v>
      </c>
      <c r="W146" s="20">
        <v>0</v>
      </c>
      <c r="X146" s="22">
        <v>0</v>
      </c>
      <c r="Y146" s="21">
        <v>0.18679999999999999</v>
      </c>
      <c r="Z146" s="19"/>
      <c r="AA146" s="19">
        <v>67</v>
      </c>
      <c r="AB146" s="23">
        <v>3.9</v>
      </c>
    </row>
    <row r="147" spans="1:28" ht="18" customHeight="1" x14ac:dyDescent="0.2">
      <c r="A147" s="19" t="s">
        <v>278</v>
      </c>
      <c r="B147" s="19" t="s">
        <v>253</v>
      </c>
      <c r="C147" s="19" t="s">
        <v>18</v>
      </c>
      <c r="D147" s="19" t="s">
        <v>85</v>
      </c>
      <c r="E147" s="19" t="s">
        <v>91</v>
      </c>
      <c r="F147" s="19" t="s">
        <v>147</v>
      </c>
      <c r="G147" s="19" t="s">
        <v>121</v>
      </c>
      <c r="H147" s="19" t="s">
        <v>57</v>
      </c>
      <c r="I147" s="19">
        <v>144114</v>
      </c>
      <c r="J147" s="19">
        <v>8876</v>
      </c>
      <c r="K147" s="19">
        <v>7607</v>
      </c>
      <c r="L147" s="19">
        <v>940</v>
      </c>
      <c r="M147" s="19">
        <v>1022</v>
      </c>
      <c r="N147" s="19">
        <v>721</v>
      </c>
      <c r="O147" s="19">
        <v>445</v>
      </c>
      <c r="P147" s="19">
        <v>445</v>
      </c>
      <c r="Q147" s="20">
        <v>41830</v>
      </c>
      <c r="R147" s="20">
        <v>36775</v>
      </c>
      <c r="S147" s="19">
        <v>94</v>
      </c>
      <c r="T147" s="21">
        <v>6.1600000000000002E-2</v>
      </c>
      <c r="U147" s="21">
        <v>5.8500000000000003E-2</v>
      </c>
      <c r="V147" s="20">
        <v>82.64</v>
      </c>
      <c r="W147" s="20">
        <v>4.1399999999999997</v>
      </c>
      <c r="X147" s="22">
        <v>1.1399999999999999</v>
      </c>
      <c r="Y147" s="21">
        <v>0.44330000000000003</v>
      </c>
      <c r="Z147" s="19"/>
      <c r="AA147" s="19">
        <v>76</v>
      </c>
      <c r="AB147" s="23">
        <v>3.8</v>
      </c>
    </row>
    <row r="148" spans="1:28" ht="18" customHeight="1" x14ac:dyDescent="0.2">
      <c r="A148" s="19" t="s">
        <v>279</v>
      </c>
      <c r="B148" s="19" t="s">
        <v>253</v>
      </c>
      <c r="C148" s="19" t="s">
        <v>18</v>
      </c>
      <c r="D148" s="19" t="s">
        <v>85</v>
      </c>
      <c r="E148" s="19" t="s">
        <v>116</v>
      </c>
      <c r="F148" s="19" t="s">
        <v>147</v>
      </c>
      <c r="G148" s="19" t="s">
        <v>121</v>
      </c>
      <c r="H148" s="19" t="s">
        <v>57</v>
      </c>
      <c r="I148" s="19">
        <v>107895</v>
      </c>
      <c r="J148" s="19">
        <v>5159</v>
      </c>
      <c r="K148" s="19">
        <v>5136</v>
      </c>
      <c r="L148" s="19">
        <v>1087</v>
      </c>
      <c r="M148" s="19">
        <v>803</v>
      </c>
      <c r="N148" s="19">
        <v>497</v>
      </c>
      <c r="O148" s="19">
        <v>304</v>
      </c>
      <c r="P148" s="19">
        <v>304</v>
      </c>
      <c r="Q148" s="20">
        <v>50464</v>
      </c>
      <c r="R148" s="20">
        <v>5839</v>
      </c>
      <c r="S148" s="19">
        <v>166</v>
      </c>
      <c r="T148" s="21">
        <v>4.7800000000000002E-2</v>
      </c>
      <c r="U148" s="21">
        <v>5.9200000000000003E-2</v>
      </c>
      <c r="V148" s="20">
        <v>19.21</v>
      </c>
      <c r="W148" s="20">
        <v>1.1299999999999999</v>
      </c>
      <c r="X148" s="22">
        <v>8.64</v>
      </c>
      <c r="Y148" s="21">
        <v>0.6159</v>
      </c>
      <c r="Z148" s="19"/>
      <c r="AA148" s="19">
        <v>94</v>
      </c>
      <c r="AB148" s="23">
        <v>4.2</v>
      </c>
    </row>
    <row r="149" spans="1:28" ht="18" customHeight="1" x14ac:dyDescent="0.2">
      <c r="A149" s="19" t="s">
        <v>280</v>
      </c>
      <c r="B149" s="19" t="s">
        <v>253</v>
      </c>
      <c r="C149" s="19" t="s">
        <v>20</v>
      </c>
      <c r="D149" s="19" t="s">
        <v>90</v>
      </c>
      <c r="E149" s="19" t="s">
        <v>86</v>
      </c>
      <c r="F149" s="19" t="s">
        <v>163</v>
      </c>
      <c r="G149" s="19" t="s">
        <v>121</v>
      </c>
      <c r="H149" s="19" t="s">
        <v>58</v>
      </c>
      <c r="I149" s="19">
        <v>100693</v>
      </c>
      <c r="J149" s="19">
        <v>2818</v>
      </c>
      <c r="K149" s="19">
        <v>2801</v>
      </c>
      <c r="L149" s="19">
        <v>407</v>
      </c>
      <c r="M149" s="19">
        <v>868</v>
      </c>
      <c r="N149" s="19">
        <v>399</v>
      </c>
      <c r="O149" s="19">
        <v>176</v>
      </c>
      <c r="P149" s="19">
        <v>176</v>
      </c>
      <c r="Q149" s="20">
        <v>12144</v>
      </c>
      <c r="R149" s="20">
        <v>2602</v>
      </c>
      <c r="S149" s="19">
        <v>69</v>
      </c>
      <c r="T149" s="21">
        <v>2.8000000000000001E-2</v>
      </c>
      <c r="U149" s="21">
        <v>6.2799999999999995E-2</v>
      </c>
      <c r="V149" s="20">
        <v>14.78</v>
      </c>
      <c r="W149" s="20">
        <v>0.92</v>
      </c>
      <c r="X149" s="22">
        <v>4.67</v>
      </c>
      <c r="Y149" s="21">
        <v>0.32319999999999999</v>
      </c>
      <c r="Z149" s="19"/>
      <c r="AA149" s="19">
        <v>69</v>
      </c>
      <c r="AB149" s="23">
        <v>4.5</v>
      </c>
    </row>
    <row r="150" spans="1:28" ht="18" customHeight="1" x14ac:dyDescent="0.2">
      <c r="A150" s="19" t="s">
        <v>281</v>
      </c>
      <c r="B150" s="19" t="s">
        <v>253</v>
      </c>
      <c r="C150" s="19" t="s">
        <v>21</v>
      </c>
      <c r="D150" s="19" t="s">
        <v>90</v>
      </c>
      <c r="E150" s="19" t="s">
        <v>86</v>
      </c>
      <c r="F150" s="19" t="s">
        <v>190</v>
      </c>
      <c r="G150" s="19" t="s">
        <v>121</v>
      </c>
      <c r="H150" s="19" t="s">
        <v>57</v>
      </c>
      <c r="I150" s="19">
        <v>191262</v>
      </c>
      <c r="J150" s="19">
        <v>7552</v>
      </c>
      <c r="K150" s="19">
        <v>8091</v>
      </c>
      <c r="L150" s="19">
        <v>1447</v>
      </c>
      <c r="M150" s="19">
        <v>2621</v>
      </c>
      <c r="N150" s="19">
        <v>1115</v>
      </c>
      <c r="O150" s="19">
        <v>607</v>
      </c>
      <c r="P150" s="19">
        <v>607</v>
      </c>
      <c r="Q150" s="20">
        <v>109260</v>
      </c>
      <c r="R150" s="20">
        <v>0</v>
      </c>
      <c r="S150" s="19">
        <v>180</v>
      </c>
      <c r="T150" s="21">
        <v>3.95E-2</v>
      </c>
      <c r="U150" s="21">
        <v>7.4999999999999997E-2</v>
      </c>
      <c r="V150" s="20">
        <v>0</v>
      </c>
      <c r="W150" s="20">
        <v>0</v>
      </c>
      <c r="X150" s="22">
        <v>0</v>
      </c>
      <c r="Y150" s="21">
        <v>0.62590000000000001</v>
      </c>
      <c r="Z150" s="19"/>
      <c r="AA150" s="19">
        <v>66</v>
      </c>
      <c r="AB150" s="23">
        <v>4.8</v>
      </c>
    </row>
    <row r="151" spans="1:28" ht="18" customHeight="1" x14ac:dyDescent="0.2">
      <c r="A151" s="19" t="s">
        <v>282</v>
      </c>
      <c r="B151" s="19" t="s">
        <v>253</v>
      </c>
      <c r="C151" s="19" t="s">
        <v>22</v>
      </c>
      <c r="D151" s="19" t="s">
        <v>90</v>
      </c>
      <c r="E151" s="19" t="s">
        <v>95</v>
      </c>
      <c r="F151" s="19" t="s">
        <v>136</v>
      </c>
      <c r="G151" s="19" t="s">
        <v>100</v>
      </c>
      <c r="H151" s="19" t="s">
        <v>58</v>
      </c>
      <c r="I151" s="19">
        <v>221750</v>
      </c>
      <c r="J151" s="19">
        <v>12512</v>
      </c>
      <c r="K151" s="19">
        <v>9681</v>
      </c>
      <c r="L151" s="19">
        <v>956</v>
      </c>
      <c r="M151" s="19">
        <v>2160</v>
      </c>
      <c r="N151" s="19">
        <v>1039</v>
      </c>
      <c r="O151" s="19">
        <v>541</v>
      </c>
      <c r="P151" s="19">
        <v>541</v>
      </c>
      <c r="Q151" s="20">
        <v>86019</v>
      </c>
      <c r="R151" s="20">
        <v>0</v>
      </c>
      <c r="S151" s="19">
        <v>159</v>
      </c>
      <c r="T151" s="21">
        <v>5.6399999999999999E-2</v>
      </c>
      <c r="U151" s="21">
        <v>5.5899999999999998E-2</v>
      </c>
      <c r="V151" s="20">
        <v>0</v>
      </c>
      <c r="W151" s="20">
        <v>0</v>
      </c>
      <c r="X151" s="22">
        <v>0</v>
      </c>
      <c r="Y151" s="21">
        <v>0.52029999999999998</v>
      </c>
      <c r="Z151" s="19"/>
      <c r="AA151" s="19">
        <v>83</v>
      </c>
      <c r="AB151" s="23">
        <v>4.4000000000000004</v>
      </c>
    </row>
    <row r="152" spans="1:28" ht="18" customHeight="1" x14ac:dyDescent="0.2">
      <c r="A152" s="19" t="s">
        <v>283</v>
      </c>
      <c r="B152" s="19" t="s">
        <v>253</v>
      </c>
      <c r="C152" s="19" t="s">
        <v>17</v>
      </c>
      <c r="D152" s="19" t="s">
        <v>90</v>
      </c>
      <c r="E152" s="19" t="s">
        <v>95</v>
      </c>
      <c r="F152" s="19" t="s">
        <v>103</v>
      </c>
      <c r="G152" s="19" t="s">
        <v>121</v>
      </c>
      <c r="H152" s="19" t="s">
        <v>58</v>
      </c>
      <c r="I152" s="19">
        <v>175282</v>
      </c>
      <c r="J152" s="19">
        <v>9310</v>
      </c>
      <c r="K152" s="19">
        <v>7525</v>
      </c>
      <c r="L152" s="19">
        <v>1471</v>
      </c>
      <c r="M152" s="19">
        <v>1726</v>
      </c>
      <c r="N152" s="19">
        <v>1200</v>
      </c>
      <c r="O152" s="19">
        <v>437</v>
      </c>
      <c r="P152" s="19">
        <v>437</v>
      </c>
      <c r="Q152" s="20">
        <v>22724</v>
      </c>
      <c r="R152" s="20">
        <v>0</v>
      </c>
      <c r="S152" s="19">
        <v>52</v>
      </c>
      <c r="T152" s="21">
        <v>5.3100000000000001E-2</v>
      </c>
      <c r="U152" s="21">
        <v>5.8099999999999999E-2</v>
      </c>
      <c r="V152" s="20">
        <v>0</v>
      </c>
      <c r="W152" s="20">
        <v>0</v>
      </c>
      <c r="X152" s="22">
        <v>0</v>
      </c>
      <c r="Y152" s="21">
        <v>0.60919999999999996</v>
      </c>
      <c r="Z152" s="19">
        <v>33</v>
      </c>
      <c r="AA152" s="19">
        <v>74</v>
      </c>
      <c r="AB152" s="23">
        <v>4.2</v>
      </c>
    </row>
    <row r="153" spans="1:28" ht="18" customHeight="1" x14ac:dyDescent="0.2">
      <c r="A153" s="19" t="s">
        <v>284</v>
      </c>
      <c r="B153" s="19" t="s">
        <v>285</v>
      </c>
      <c r="C153" s="19" t="s">
        <v>20</v>
      </c>
      <c r="D153" s="19" t="s">
        <v>85</v>
      </c>
      <c r="E153" s="19" t="s">
        <v>116</v>
      </c>
      <c r="F153" s="19" t="s">
        <v>142</v>
      </c>
      <c r="G153" s="19" t="s">
        <v>88</v>
      </c>
      <c r="H153" s="19" t="s">
        <v>58</v>
      </c>
      <c r="I153" s="19">
        <v>165029</v>
      </c>
      <c r="J153" s="19">
        <v>2144</v>
      </c>
      <c r="K153" s="19">
        <v>2115</v>
      </c>
      <c r="L153" s="19">
        <v>180</v>
      </c>
      <c r="M153" s="19">
        <v>299</v>
      </c>
      <c r="N153" s="19">
        <v>166</v>
      </c>
      <c r="O153" s="19">
        <v>171</v>
      </c>
      <c r="P153" s="19">
        <v>166</v>
      </c>
      <c r="Q153" s="20">
        <v>14022</v>
      </c>
      <c r="R153" s="20">
        <v>23396</v>
      </c>
      <c r="S153" s="19">
        <v>82</v>
      </c>
      <c r="T153" s="21">
        <v>1.2999999999999999E-2</v>
      </c>
      <c r="U153" s="21">
        <v>8.09E-2</v>
      </c>
      <c r="V153" s="20">
        <v>136.82</v>
      </c>
      <c r="W153" s="20">
        <v>10.91</v>
      </c>
      <c r="X153" s="22">
        <v>0.6</v>
      </c>
      <c r="Y153" s="21">
        <v>0.1825</v>
      </c>
      <c r="Z153" s="19"/>
      <c r="AA153" s="19">
        <v>66</v>
      </c>
      <c r="AB153" s="23">
        <v>4.4000000000000004</v>
      </c>
    </row>
    <row r="154" spans="1:28" ht="18" customHeight="1" x14ac:dyDescent="0.2">
      <c r="A154" s="19" t="s">
        <v>286</v>
      </c>
      <c r="B154" s="19" t="s">
        <v>285</v>
      </c>
      <c r="C154" s="19" t="s">
        <v>19</v>
      </c>
      <c r="D154" s="19" t="s">
        <v>102</v>
      </c>
      <c r="E154" s="19" t="s">
        <v>91</v>
      </c>
      <c r="F154" s="19" t="s">
        <v>130</v>
      </c>
      <c r="G154" s="19" t="s">
        <v>118</v>
      </c>
      <c r="H154" s="19" t="s">
        <v>57</v>
      </c>
      <c r="I154" s="19">
        <v>22524</v>
      </c>
      <c r="J154" s="19">
        <v>946</v>
      </c>
      <c r="K154" s="19">
        <v>988</v>
      </c>
      <c r="L154" s="19">
        <v>203</v>
      </c>
      <c r="M154" s="19">
        <v>125</v>
      </c>
      <c r="N154" s="19">
        <v>76</v>
      </c>
      <c r="O154" s="19">
        <v>56</v>
      </c>
      <c r="P154" s="19">
        <v>56</v>
      </c>
      <c r="Q154" s="20">
        <v>3640</v>
      </c>
      <c r="R154" s="20">
        <v>13477</v>
      </c>
      <c r="S154" s="19">
        <v>65</v>
      </c>
      <c r="T154" s="21">
        <v>4.2000000000000003E-2</v>
      </c>
      <c r="U154" s="21">
        <v>5.67E-2</v>
      </c>
      <c r="V154" s="20">
        <v>240.66</v>
      </c>
      <c r="W154" s="20">
        <v>14.25</v>
      </c>
      <c r="X154" s="22">
        <v>0.27</v>
      </c>
      <c r="Y154" s="21">
        <v>0.57010000000000005</v>
      </c>
      <c r="Z154" s="19"/>
      <c r="AA154" s="19">
        <v>76</v>
      </c>
      <c r="AB154" s="23">
        <v>4.4000000000000004</v>
      </c>
    </row>
    <row r="155" spans="1:28" ht="18" customHeight="1" x14ac:dyDescent="0.2">
      <c r="A155" s="19" t="s">
        <v>287</v>
      </c>
      <c r="B155" s="19" t="s">
        <v>285</v>
      </c>
      <c r="C155" s="19" t="s">
        <v>19</v>
      </c>
      <c r="D155" s="19" t="s">
        <v>90</v>
      </c>
      <c r="E155" s="19" t="s">
        <v>86</v>
      </c>
      <c r="F155" s="19" t="s">
        <v>192</v>
      </c>
      <c r="G155" s="19" t="s">
        <v>118</v>
      </c>
      <c r="H155" s="19" t="s">
        <v>57</v>
      </c>
      <c r="I155" s="19">
        <v>143182</v>
      </c>
      <c r="J155" s="19">
        <v>6670</v>
      </c>
      <c r="K155" s="19">
        <v>7114</v>
      </c>
      <c r="L155" s="19">
        <v>1224</v>
      </c>
      <c r="M155" s="19">
        <v>1126</v>
      </c>
      <c r="N155" s="19">
        <v>796</v>
      </c>
      <c r="O155" s="19">
        <v>253</v>
      </c>
      <c r="P155" s="19">
        <v>253</v>
      </c>
      <c r="Q155" s="20">
        <v>16698</v>
      </c>
      <c r="R155" s="20">
        <v>11728</v>
      </c>
      <c r="S155" s="19">
        <v>66</v>
      </c>
      <c r="T155" s="21">
        <v>4.6600000000000003E-2</v>
      </c>
      <c r="U155" s="21">
        <v>3.56E-2</v>
      </c>
      <c r="V155" s="20">
        <v>46.36</v>
      </c>
      <c r="W155" s="20">
        <v>1.76</v>
      </c>
      <c r="X155" s="22">
        <v>1.42</v>
      </c>
      <c r="Y155" s="21">
        <v>0.25009999999999999</v>
      </c>
      <c r="Z155" s="19"/>
      <c r="AA155" s="19">
        <v>79</v>
      </c>
      <c r="AB155" s="23">
        <v>3.9</v>
      </c>
    </row>
    <row r="156" spans="1:28" ht="18" customHeight="1" x14ac:dyDescent="0.2">
      <c r="A156" s="19" t="s">
        <v>288</v>
      </c>
      <c r="B156" s="19" t="s">
        <v>285</v>
      </c>
      <c r="C156" s="19" t="s">
        <v>21</v>
      </c>
      <c r="D156" s="19" t="s">
        <v>85</v>
      </c>
      <c r="E156" s="19" t="s">
        <v>95</v>
      </c>
      <c r="F156" s="19" t="s">
        <v>99</v>
      </c>
      <c r="G156" s="19" t="s">
        <v>97</v>
      </c>
      <c r="H156" s="19" t="s">
        <v>57</v>
      </c>
      <c r="I156" s="19">
        <v>86934</v>
      </c>
      <c r="J156" s="19">
        <v>5845</v>
      </c>
      <c r="K156" s="19">
        <v>6278</v>
      </c>
      <c r="L156" s="19">
        <v>870</v>
      </c>
      <c r="M156" s="19">
        <v>2082</v>
      </c>
      <c r="N156" s="19">
        <v>1341</v>
      </c>
      <c r="O156" s="19">
        <v>471</v>
      </c>
      <c r="P156" s="19">
        <v>471</v>
      </c>
      <c r="Q156" s="20">
        <v>21195</v>
      </c>
      <c r="R156" s="20">
        <v>0</v>
      </c>
      <c r="S156" s="19">
        <v>45</v>
      </c>
      <c r="T156" s="21">
        <v>6.7199999999999996E-2</v>
      </c>
      <c r="U156" s="21">
        <v>7.4999999999999997E-2</v>
      </c>
      <c r="V156" s="20">
        <v>0</v>
      </c>
      <c r="W156" s="20">
        <v>0</v>
      </c>
      <c r="X156" s="22">
        <v>0</v>
      </c>
      <c r="Y156" s="21">
        <v>0.25519999999999998</v>
      </c>
      <c r="Z156" s="19"/>
      <c r="AA156" s="19">
        <v>64</v>
      </c>
      <c r="AB156" s="23">
        <v>4.4000000000000004</v>
      </c>
    </row>
    <row r="157" spans="1:28" ht="18" customHeight="1" x14ac:dyDescent="0.2">
      <c r="A157" s="19" t="s">
        <v>289</v>
      </c>
      <c r="B157" s="19" t="s">
        <v>285</v>
      </c>
      <c r="C157" s="19" t="s">
        <v>19</v>
      </c>
      <c r="D157" s="19" t="s">
        <v>102</v>
      </c>
      <c r="E157" s="19" t="s">
        <v>86</v>
      </c>
      <c r="F157" s="19" t="s">
        <v>117</v>
      </c>
      <c r="G157" s="19" t="s">
        <v>88</v>
      </c>
      <c r="H157" s="19" t="s">
        <v>58</v>
      </c>
      <c r="I157" s="19">
        <v>223552</v>
      </c>
      <c r="J157" s="19">
        <v>17509</v>
      </c>
      <c r="K157" s="19">
        <v>13599</v>
      </c>
      <c r="L157" s="19">
        <v>2884</v>
      </c>
      <c r="M157" s="19">
        <v>2963</v>
      </c>
      <c r="N157" s="19">
        <v>1485</v>
      </c>
      <c r="O157" s="19">
        <v>670</v>
      </c>
      <c r="P157" s="19">
        <v>670</v>
      </c>
      <c r="Q157" s="20">
        <v>97820</v>
      </c>
      <c r="R157" s="20">
        <v>21960</v>
      </c>
      <c r="S157" s="19">
        <v>146</v>
      </c>
      <c r="T157" s="21">
        <v>7.8299999999999995E-2</v>
      </c>
      <c r="U157" s="21">
        <v>4.9299999999999997E-2</v>
      </c>
      <c r="V157" s="20">
        <v>32.78</v>
      </c>
      <c r="W157" s="20">
        <v>1.25</v>
      </c>
      <c r="X157" s="22">
        <v>4.45</v>
      </c>
      <c r="Y157" s="21">
        <v>0.22370000000000001</v>
      </c>
      <c r="Z157" s="19"/>
      <c r="AA157" s="19">
        <v>79</v>
      </c>
      <c r="AB157" s="23">
        <v>4.9000000000000004</v>
      </c>
    </row>
    <row r="158" spans="1:28" ht="18" customHeight="1" x14ac:dyDescent="0.2">
      <c r="A158" s="19" t="s">
        <v>290</v>
      </c>
      <c r="B158" s="19" t="s">
        <v>285</v>
      </c>
      <c r="C158" s="19" t="s">
        <v>22</v>
      </c>
      <c r="D158" s="19" t="s">
        <v>90</v>
      </c>
      <c r="E158" s="19" t="s">
        <v>114</v>
      </c>
      <c r="F158" s="19" t="s">
        <v>161</v>
      </c>
      <c r="G158" s="19" t="s">
        <v>93</v>
      </c>
      <c r="H158" s="19" t="s">
        <v>58</v>
      </c>
      <c r="I158" s="19">
        <v>28487</v>
      </c>
      <c r="J158" s="19">
        <v>1648</v>
      </c>
      <c r="K158" s="19">
        <v>1256</v>
      </c>
      <c r="L158" s="19">
        <v>192</v>
      </c>
      <c r="M158" s="19">
        <v>337</v>
      </c>
      <c r="N158" s="19">
        <v>184</v>
      </c>
      <c r="O158" s="19">
        <v>62</v>
      </c>
      <c r="P158" s="19">
        <v>62</v>
      </c>
      <c r="Q158" s="20">
        <v>6262</v>
      </c>
      <c r="R158" s="20">
        <v>0</v>
      </c>
      <c r="S158" s="19">
        <v>101</v>
      </c>
      <c r="T158" s="21">
        <v>5.79E-2</v>
      </c>
      <c r="U158" s="21">
        <v>4.9399999999999999E-2</v>
      </c>
      <c r="V158" s="20">
        <v>0</v>
      </c>
      <c r="W158" s="20">
        <v>0</v>
      </c>
      <c r="X158" s="22">
        <v>0</v>
      </c>
      <c r="Y158" s="21">
        <v>0.64070000000000005</v>
      </c>
      <c r="Z158" s="19"/>
      <c r="AA158" s="19">
        <v>62</v>
      </c>
      <c r="AB158" s="23">
        <v>4.3</v>
      </c>
    </row>
    <row r="159" spans="1:28" ht="18" customHeight="1" x14ac:dyDescent="0.2">
      <c r="A159" s="19" t="s">
        <v>291</v>
      </c>
      <c r="B159" s="19" t="s">
        <v>285</v>
      </c>
      <c r="C159" s="19" t="s">
        <v>17</v>
      </c>
      <c r="D159" s="19" t="s">
        <v>85</v>
      </c>
      <c r="E159" s="19" t="s">
        <v>91</v>
      </c>
      <c r="F159" s="19" t="s">
        <v>144</v>
      </c>
      <c r="G159" s="19" t="s">
        <v>97</v>
      </c>
      <c r="H159" s="19" t="s">
        <v>57</v>
      </c>
      <c r="I159" s="19">
        <v>92072</v>
      </c>
      <c r="J159" s="19">
        <v>7408</v>
      </c>
      <c r="K159" s="19">
        <v>7472</v>
      </c>
      <c r="L159" s="19">
        <v>1025</v>
      </c>
      <c r="M159" s="19">
        <v>1896</v>
      </c>
      <c r="N159" s="19">
        <v>734</v>
      </c>
      <c r="O159" s="19">
        <v>371</v>
      </c>
      <c r="P159" s="19">
        <v>371</v>
      </c>
      <c r="Q159" s="20">
        <v>39326</v>
      </c>
      <c r="R159" s="20">
        <v>0</v>
      </c>
      <c r="S159" s="19">
        <v>106</v>
      </c>
      <c r="T159" s="21">
        <v>8.0500000000000002E-2</v>
      </c>
      <c r="U159" s="21">
        <v>4.9700000000000001E-2</v>
      </c>
      <c r="V159" s="20">
        <v>0</v>
      </c>
      <c r="W159" s="20">
        <v>0</v>
      </c>
      <c r="X159" s="22">
        <v>0</v>
      </c>
      <c r="Y159" s="21">
        <v>0.20069999999999999</v>
      </c>
      <c r="Z159" s="19">
        <v>4</v>
      </c>
      <c r="AA159" s="19">
        <v>65</v>
      </c>
      <c r="AB159" s="23">
        <v>3.9</v>
      </c>
    </row>
    <row r="160" spans="1:28" ht="18" customHeight="1" x14ac:dyDescent="0.2">
      <c r="A160" s="19" t="s">
        <v>292</v>
      </c>
      <c r="B160" s="19" t="s">
        <v>285</v>
      </c>
      <c r="C160" s="19" t="s">
        <v>22</v>
      </c>
      <c r="D160" s="19" t="s">
        <v>90</v>
      </c>
      <c r="E160" s="19" t="s">
        <v>114</v>
      </c>
      <c r="F160" s="19" t="s">
        <v>161</v>
      </c>
      <c r="G160" s="19" t="s">
        <v>118</v>
      </c>
      <c r="H160" s="19" t="s">
        <v>58</v>
      </c>
      <c r="I160" s="19">
        <v>194869</v>
      </c>
      <c r="J160" s="19">
        <v>12030</v>
      </c>
      <c r="K160" s="19">
        <v>12691</v>
      </c>
      <c r="L160" s="19">
        <v>2431</v>
      </c>
      <c r="M160" s="19">
        <v>1976</v>
      </c>
      <c r="N160" s="19">
        <v>1248</v>
      </c>
      <c r="O160" s="19">
        <v>652</v>
      </c>
      <c r="P160" s="19">
        <v>652</v>
      </c>
      <c r="Q160" s="20">
        <v>38468</v>
      </c>
      <c r="R160" s="20">
        <v>0</v>
      </c>
      <c r="S160" s="19">
        <v>59</v>
      </c>
      <c r="T160" s="21">
        <v>6.1699999999999998E-2</v>
      </c>
      <c r="U160" s="21">
        <v>5.1400000000000001E-2</v>
      </c>
      <c r="V160" s="20">
        <v>0</v>
      </c>
      <c r="W160" s="20">
        <v>0</v>
      </c>
      <c r="X160" s="22">
        <v>0</v>
      </c>
      <c r="Y160" s="21">
        <v>0.2596</v>
      </c>
      <c r="Z160" s="19"/>
      <c r="AA160" s="19">
        <v>63</v>
      </c>
      <c r="AB160" s="23">
        <v>4.4000000000000004</v>
      </c>
    </row>
    <row r="161" spans="1:28" ht="18" customHeight="1" x14ac:dyDescent="0.2">
      <c r="A161" s="19" t="s">
        <v>293</v>
      </c>
      <c r="B161" s="19" t="s">
        <v>285</v>
      </c>
      <c r="C161" s="19" t="s">
        <v>17</v>
      </c>
      <c r="D161" s="19" t="s">
        <v>102</v>
      </c>
      <c r="E161" s="19" t="s">
        <v>86</v>
      </c>
      <c r="F161" s="19" t="s">
        <v>110</v>
      </c>
      <c r="G161" s="19" t="s">
        <v>97</v>
      </c>
      <c r="H161" s="19" t="s">
        <v>57</v>
      </c>
      <c r="I161" s="19">
        <v>61220</v>
      </c>
      <c r="J161" s="19">
        <v>3764</v>
      </c>
      <c r="K161" s="19">
        <v>3251</v>
      </c>
      <c r="L161" s="19">
        <v>584</v>
      </c>
      <c r="M161" s="19">
        <v>629</v>
      </c>
      <c r="N161" s="19">
        <v>372</v>
      </c>
      <c r="O161" s="19">
        <v>205</v>
      </c>
      <c r="P161" s="19">
        <v>205</v>
      </c>
      <c r="Q161" s="20">
        <v>35055</v>
      </c>
      <c r="R161" s="20">
        <v>0</v>
      </c>
      <c r="S161" s="19">
        <v>171</v>
      </c>
      <c r="T161" s="21">
        <v>6.1499999999999999E-2</v>
      </c>
      <c r="U161" s="21">
        <v>6.3100000000000003E-2</v>
      </c>
      <c r="V161" s="20">
        <v>0</v>
      </c>
      <c r="W161" s="20">
        <v>0</v>
      </c>
      <c r="X161" s="22">
        <v>0</v>
      </c>
      <c r="Y161" s="21">
        <v>0.38600000000000001</v>
      </c>
      <c r="Z161" s="19">
        <v>7</v>
      </c>
      <c r="AA161" s="19">
        <v>93</v>
      </c>
      <c r="AB161" s="23">
        <v>4.0999999999999996</v>
      </c>
    </row>
    <row r="162" spans="1:28" ht="18" customHeight="1" x14ac:dyDescent="0.2">
      <c r="A162" s="19" t="s">
        <v>294</v>
      </c>
      <c r="B162" s="19" t="s">
        <v>285</v>
      </c>
      <c r="C162" s="19" t="s">
        <v>19</v>
      </c>
      <c r="D162" s="19" t="s">
        <v>90</v>
      </c>
      <c r="E162" s="19" t="s">
        <v>91</v>
      </c>
      <c r="F162" s="19" t="s">
        <v>117</v>
      </c>
      <c r="G162" s="19" t="s">
        <v>100</v>
      </c>
      <c r="H162" s="19" t="s">
        <v>57</v>
      </c>
      <c r="I162" s="19">
        <v>228546</v>
      </c>
      <c r="J162" s="19">
        <v>18347</v>
      </c>
      <c r="K162" s="19">
        <v>13447</v>
      </c>
      <c r="L162" s="19">
        <v>2711</v>
      </c>
      <c r="M162" s="19">
        <v>3193</v>
      </c>
      <c r="N162" s="19">
        <v>1913</v>
      </c>
      <c r="O162" s="19">
        <v>775</v>
      </c>
      <c r="P162" s="19">
        <v>775</v>
      </c>
      <c r="Q162" s="20">
        <v>138725</v>
      </c>
      <c r="R162" s="20">
        <v>21604</v>
      </c>
      <c r="S162" s="19">
        <v>179</v>
      </c>
      <c r="T162" s="21">
        <v>8.0299999999999996E-2</v>
      </c>
      <c r="U162" s="21">
        <v>5.7599999999999998E-2</v>
      </c>
      <c r="V162" s="20">
        <v>27.88</v>
      </c>
      <c r="W162" s="20">
        <v>1.18</v>
      </c>
      <c r="X162" s="22">
        <v>6.42</v>
      </c>
      <c r="Y162" s="21">
        <v>0.67830000000000001</v>
      </c>
      <c r="Z162" s="19"/>
      <c r="AA162" s="19">
        <v>67</v>
      </c>
      <c r="AB162" s="23">
        <v>4.8</v>
      </c>
    </row>
    <row r="163" spans="1:28" ht="18" customHeight="1" x14ac:dyDescent="0.2">
      <c r="A163" s="19" t="s">
        <v>295</v>
      </c>
      <c r="B163" s="19" t="s">
        <v>285</v>
      </c>
      <c r="C163" s="19" t="s">
        <v>17</v>
      </c>
      <c r="D163" s="19" t="s">
        <v>85</v>
      </c>
      <c r="E163" s="19" t="s">
        <v>116</v>
      </c>
      <c r="F163" s="19" t="s">
        <v>144</v>
      </c>
      <c r="G163" s="19" t="s">
        <v>93</v>
      </c>
      <c r="H163" s="19" t="s">
        <v>58</v>
      </c>
      <c r="I163" s="19">
        <v>102565</v>
      </c>
      <c r="J163" s="19">
        <v>3207</v>
      </c>
      <c r="K163" s="19">
        <v>2693</v>
      </c>
      <c r="L163" s="19">
        <v>218</v>
      </c>
      <c r="M163" s="19">
        <v>499</v>
      </c>
      <c r="N163" s="19">
        <v>260</v>
      </c>
      <c r="O163" s="19">
        <v>125</v>
      </c>
      <c r="P163" s="19">
        <v>125</v>
      </c>
      <c r="Q163" s="20">
        <v>11625</v>
      </c>
      <c r="R163" s="20">
        <v>0</v>
      </c>
      <c r="S163" s="19">
        <v>93</v>
      </c>
      <c r="T163" s="21">
        <v>3.1300000000000001E-2</v>
      </c>
      <c r="U163" s="21">
        <v>4.6399999999999997E-2</v>
      </c>
      <c r="V163" s="20">
        <v>0</v>
      </c>
      <c r="W163" s="20">
        <v>0</v>
      </c>
      <c r="X163" s="22">
        <v>0</v>
      </c>
      <c r="Y163" s="21">
        <v>0.22409999999999999</v>
      </c>
      <c r="Z163" s="19">
        <v>28</v>
      </c>
      <c r="AA163" s="19">
        <v>63</v>
      </c>
      <c r="AB163" s="23">
        <v>4.0999999999999996</v>
      </c>
    </row>
    <row r="164" spans="1:28" ht="18" customHeight="1" x14ac:dyDescent="0.2">
      <c r="A164" s="19" t="s">
        <v>296</v>
      </c>
      <c r="B164" s="19" t="s">
        <v>285</v>
      </c>
      <c r="C164" s="19" t="s">
        <v>20</v>
      </c>
      <c r="D164" s="19" t="s">
        <v>90</v>
      </c>
      <c r="E164" s="19" t="s">
        <v>86</v>
      </c>
      <c r="F164" s="19" t="s">
        <v>132</v>
      </c>
      <c r="G164" s="19" t="s">
        <v>118</v>
      </c>
      <c r="H164" s="19" t="s">
        <v>58</v>
      </c>
      <c r="I164" s="19">
        <v>216122</v>
      </c>
      <c r="J164" s="19">
        <v>8023</v>
      </c>
      <c r="K164" s="19">
        <v>8633</v>
      </c>
      <c r="L164" s="19">
        <v>1347</v>
      </c>
      <c r="M164" s="19">
        <v>1558</v>
      </c>
      <c r="N164" s="19">
        <v>625</v>
      </c>
      <c r="O164" s="19">
        <v>725</v>
      </c>
      <c r="P164" s="19">
        <v>625</v>
      </c>
      <c r="Q164" s="20">
        <v>75400</v>
      </c>
      <c r="R164" s="20">
        <v>29346</v>
      </c>
      <c r="S164" s="19">
        <v>104</v>
      </c>
      <c r="T164" s="21">
        <v>3.7100000000000001E-2</v>
      </c>
      <c r="U164" s="21">
        <v>8.4000000000000005E-2</v>
      </c>
      <c r="V164" s="20">
        <v>40.479999999999997</v>
      </c>
      <c r="W164" s="20">
        <v>3.66</v>
      </c>
      <c r="X164" s="22">
        <v>2.57</v>
      </c>
      <c r="Y164" s="21">
        <v>0.57120000000000004</v>
      </c>
      <c r="Z164" s="19"/>
      <c r="AA164" s="19">
        <v>93</v>
      </c>
      <c r="AB164" s="23">
        <v>4.3</v>
      </c>
    </row>
    <row r="165" spans="1:28" ht="18" customHeight="1" x14ac:dyDescent="0.2">
      <c r="A165" s="19" t="s">
        <v>297</v>
      </c>
      <c r="B165" s="19" t="s">
        <v>285</v>
      </c>
      <c r="C165" s="19" t="s">
        <v>22</v>
      </c>
      <c r="D165" s="19" t="s">
        <v>90</v>
      </c>
      <c r="E165" s="19" t="s">
        <v>107</v>
      </c>
      <c r="F165" s="19" t="s">
        <v>136</v>
      </c>
      <c r="G165" s="19" t="s">
        <v>97</v>
      </c>
      <c r="H165" s="19" t="s">
        <v>58</v>
      </c>
      <c r="I165" s="19">
        <v>149955</v>
      </c>
      <c r="J165" s="19">
        <v>3900</v>
      </c>
      <c r="K165" s="19">
        <v>3613</v>
      </c>
      <c r="L165" s="19">
        <v>746</v>
      </c>
      <c r="M165" s="19">
        <v>1164</v>
      </c>
      <c r="N165" s="19">
        <v>692</v>
      </c>
      <c r="O165" s="19">
        <v>231</v>
      </c>
      <c r="P165" s="19">
        <v>231</v>
      </c>
      <c r="Q165" s="20">
        <v>20328</v>
      </c>
      <c r="R165" s="20">
        <v>0</v>
      </c>
      <c r="S165" s="19">
        <v>88</v>
      </c>
      <c r="T165" s="21">
        <v>2.5999999999999999E-2</v>
      </c>
      <c r="U165" s="21">
        <v>6.3899999999999998E-2</v>
      </c>
      <c r="V165" s="20">
        <v>0</v>
      </c>
      <c r="W165" s="20">
        <v>0</v>
      </c>
      <c r="X165" s="22">
        <v>0</v>
      </c>
      <c r="Y165" s="21">
        <v>0.44479999999999997</v>
      </c>
      <c r="Z165" s="19"/>
      <c r="AA165" s="19">
        <v>70</v>
      </c>
      <c r="AB165" s="23">
        <v>3.8</v>
      </c>
    </row>
    <row r="166" spans="1:28" ht="18" customHeight="1" x14ac:dyDescent="0.2">
      <c r="A166" s="19" t="s">
        <v>298</v>
      </c>
      <c r="B166" s="19" t="s">
        <v>285</v>
      </c>
      <c r="C166" s="19" t="s">
        <v>20</v>
      </c>
      <c r="D166" s="19" t="s">
        <v>90</v>
      </c>
      <c r="E166" s="19" t="s">
        <v>107</v>
      </c>
      <c r="F166" s="19" t="s">
        <v>149</v>
      </c>
      <c r="G166" s="19" t="s">
        <v>88</v>
      </c>
      <c r="H166" s="19" t="s">
        <v>57</v>
      </c>
      <c r="I166" s="19">
        <v>221634</v>
      </c>
      <c r="J166" s="19">
        <v>8500</v>
      </c>
      <c r="K166" s="19">
        <v>7982</v>
      </c>
      <c r="L166" s="19">
        <v>954</v>
      </c>
      <c r="M166" s="19">
        <v>1063</v>
      </c>
      <c r="N166" s="19">
        <v>440</v>
      </c>
      <c r="O166" s="19">
        <v>639</v>
      </c>
      <c r="P166" s="19">
        <v>440</v>
      </c>
      <c r="Q166" s="20">
        <v>28755</v>
      </c>
      <c r="R166" s="20">
        <v>21864</v>
      </c>
      <c r="S166" s="19">
        <v>45</v>
      </c>
      <c r="T166" s="21">
        <v>3.8399999999999997E-2</v>
      </c>
      <c r="U166" s="21">
        <v>8.0100000000000005E-2</v>
      </c>
      <c r="V166" s="20">
        <v>34.22</v>
      </c>
      <c r="W166" s="20">
        <v>2.57</v>
      </c>
      <c r="X166" s="22">
        <v>1.32</v>
      </c>
      <c r="Y166" s="21">
        <v>0.45079999999999998</v>
      </c>
      <c r="Z166" s="19"/>
      <c r="AA166" s="19">
        <v>92</v>
      </c>
      <c r="AB166" s="23">
        <v>4</v>
      </c>
    </row>
    <row r="167" spans="1:28" ht="18" customHeight="1" x14ac:dyDescent="0.2">
      <c r="A167" s="19" t="s">
        <v>299</v>
      </c>
      <c r="B167" s="19" t="s">
        <v>285</v>
      </c>
      <c r="C167" s="19" t="s">
        <v>18</v>
      </c>
      <c r="D167" s="19" t="s">
        <v>102</v>
      </c>
      <c r="E167" s="19" t="s">
        <v>107</v>
      </c>
      <c r="F167" s="19" t="s">
        <v>87</v>
      </c>
      <c r="G167" s="19" t="s">
        <v>100</v>
      </c>
      <c r="H167" s="19" t="s">
        <v>58</v>
      </c>
      <c r="I167" s="19">
        <v>107362</v>
      </c>
      <c r="J167" s="19">
        <v>2901</v>
      </c>
      <c r="K167" s="19">
        <v>3099</v>
      </c>
      <c r="L167" s="19">
        <v>583</v>
      </c>
      <c r="M167" s="19">
        <v>474</v>
      </c>
      <c r="N167" s="19">
        <v>181</v>
      </c>
      <c r="O167" s="19">
        <v>163</v>
      </c>
      <c r="P167" s="19">
        <v>163</v>
      </c>
      <c r="Q167" s="20">
        <v>14833</v>
      </c>
      <c r="R167" s="20">
        <v>19982</v>
      </c>
      <c r="S167" s="19">
        <v>91</v>
      </c>
      <c r="T167" s="21">
        <v>2.7E-2</v>
      </c>
      <c r="U167" s="21">
        <v>5.2600000000000001E-2</v>
      </c>
      <c r="V167" s="20">
        <v>122.59</v>
      </c>
      <c r="W167" s="20">
        <v>6.89</v>
      </c>
      <c r="X167" s="22">
        <v>0.74</v>
      </c>
      <c r="Y167" s="21">
        <v>0.62350000000000005</v>
      </c>
      <c r="Z167" s="19"/>
      <c r="AA167" s="19">
        <v>69</v>
      </c>
      <c r="AB167" s="23">
        <v>3.8</v>
      </c>
    </row>
    <row r="168" spans="1:28" ht="18" customHeight="1" x14ac:dyDescent="0.2">
      <c r="A168" s="19" t="s">
        <v>300</v>
      </c>
      <c r="B168" s="19" t="s">
        <v>285</v>
      </c>
      <c r="C168" s="19" t="s">
        <v>19</v>
      </c>
      <c r="D168" s="19" t="s">
        <v>102</v>
      </c>
      <c r="E168" s="19" t="s">
        <v>107</v>
      </c>
      <c r="F168" s="19" t="s">
        <v>192</v>
      </c>
      <c r="G168" s="19" t="s">
        <v>121</v>
      </c>
      <c r="H168" s="19" t="s">
        <v>58</v>
      </c>
      <c r="I168" s="19">
        <v>252764</v>
      </c>
      <c r="J168" s="19">
        <v>10163</v>
      </c>
      <c r="K168" s="19">
        <v>9899</v>
      </c>
      <c r="L168" s="19">
        <v>1188</v>
      </c>
      <c r="M168" s="19">
        <v>1344</v>
      </c>
      <c r="N168" s="19">
        <v>663</v>
      </c>
      <c r="O168" s="19">
        <v>183</v>
      </c>
      <c r="P168" s="19">
        <v>183</v>
      </c>
      <c r="Q168" s="20">
        <v>29097</v>
      </c>
      <c r="R168" s="20">
        <v>4465</v>
      </c>
      <c r="S168" s="19">
        <v>159</v>
      </c>
      <c r="T168" s="21">
        <v>4.02E-2</v>
      </c>
      <c r="U168" s="21">
        <v>1.8499999999999999E-2</v>
      </c>
      <c r="V168" s="20">
        <v>24.4</v>
      </c>
      <c r="W168" s="20">
        <v>0.44</v>
      </c>
      <c r="X168" s="22">
        <v>6.52</v>
      </c>
      <c r="Y168" s="21">
        <v>0.36459999999999998</v>
      </c>
      <c r="Z168" s="19"/>
      <c r="AA168" s="19">
        <v>88</v>
      </c>
      <c r="AB168" s="23">
        <v>3.9</v>
      </c>
    </row>
    <row r="169" spans="1:28" ht="18" customHeight="1" x14ac:dyDescent="0.2">
      <c r="A169" s="19" t="s">
        <v>301</v>
      </c>
      <c r="B169" s="19" t="s">
        <v>285</v>
      </c>
      <c r="C169" s="19" t="s">
        <v>21</v>
      </c>
      <c r="D169" s="19" t="s">
        <v>102</v>
      </c>
      <c r="E169" s="19" t="s">
        <v>114</v>
      </c>
      <c r="F169" s="19" t="s">
        <v>123</v>
      </c>
      <c r="G169" s="19" t="s">
        <v>93</v>
      </c>
      <c r="H169" s="19" t="s">
        <v>58</v>
      </c>
      <c r="I169" s="19">
        <v>258387</v>
      </c>
      <c r="J169" s="19">
        <v>4930</v>
      </c>
      <c r="K169" s="19">
        <v>3968</v>
      </c>
      <c r="L169" s="19">
        <v>646</v>
      </c>
      <c r="M169" s="19">
        <v>1130</v>
      </c>
      <c r="N169" s="19">
        <v>565</v>
      </c>
      <c r="O169" s="19">
        <v>256</v>
      </c>
      <c r="P169" s="19">
        <v>256</v>
      </c>
      <c r="Q169" s="20">
        <v>25088</v>
      </c>
      <c r="R169" s="20">
        <v>0</v>
      </c>
      <c r="S169" s="19">
        <v>98</v>
      </c>
      <c r="T169" s="21">
        <v>1.9099999999999999E-2</v>
      </c>
      <c r="U169" s="21">
        <v>6.4500000000000002E-2</v>
      </c>
      <c r="V169" s="20">
        <v>0</v>
      </c>
      <c r="W169" s="20">
        <v>0</v>
      </c>
      <c r="X169" s="22">
        <v>0</v>
      </c>
      <c r="Y169" s="21">
        <v>0.19919999999999999</v>
      </c>
      <c r="Z169" s="19"/>
      <c r="AA169" s="19">
        <v>88</v>
      </c>
      <c r="AB169" s="23">
        <v>4.2</v>
      </c>
    </row>
    <row r="170" spans="1:28" ht="18" customHeight="1" x14ac:dyDescent="0.2">
      <c r="A170" s="19" t="s">
        <v>302</v>
      </c>
      <c r="B170" s="19" t="s">
        <v>285</v>
      </c>
      <c r="C170" s="19" t="s">
        <v>20</v>
      </c>
      <c r="D170" s="19" t="s">
        <v>90</v>
      </c>
      <c r="E170" s="19" t="s">
        <v>86</v>
      </c>
      <c r="F170" s="19" t="s">
        <v>149</v>
      </c>
      <c r="G170" s="19" t="s">
        <v>121</v>
      </c>
      <c r="H170" s="19" t="s">
        <v>58</v>
      </c>
      <c r="I170" s="19">
        <v>243509</v>
      </c>
      <c r="J170" s="19">
        <v>8206</v>
      </c>
      <c r="K170" s="19">
        <v>6661</v>
      </c>
      <c r="L170" s="19">
        <v>1406</v>
      </c>
      <c r="M170" s="19">
        <v>805</v>
      </c>
      <c r="N170" s="19">
        <v>319</v>
      </c>
      <c r="O170" s="19">
        <v>482</v>
      </c>
      <c r="P170" s="19">
        <v>319</v>
      </c>
      <c r="Q170" s="20">
        <v>55430</v>
      </c>
      <c r="R170" s="20">
        <v>8133</v>
      </c>
      <c r="S170" s="19">
        <v>115</v>
      </c>
      <c r="T170" s="21">
        <v>3.3700000000000001E-2</v>
      </c>
      <c r="U170" s="21">
        <v>7.2400000000000006E-2</v>
      </c>
      <c r="V170" s="20">
        <v>16.87</v>
      </c>
      <c r="W170" s="20">
        <v>0.99</v>
      </c>
      <c r="X170" s="22">
        <v>6.82</v>
      </c>
      <c r="Y170" s="21">
        <v>0.4461</v>
      </c>
      <c r="Z170" s="19"/>
      <c r="AA170" s="19">
        <v>66</v>
      </c>
      <c r="AB170" s="23">
        <v>4.7</v>
      </c>
    </row>
    <row r="171" spans="1:28" ht="18" customHeight="1" x14ac:dyDescent="0.2">
      <c r="A171" s="19" t="s">
        <v>303</v>
      </c>
      <c r="B171" s="19" t="s">
        <v>285</v>
      </c>
      <c r="C171" s="19" t="s">
        <v>21</v>
      </c>
      <c r="D171" s="19" t="s">
        <v>90</v>
      </c>
      <c r="E171" s="19" t="s">
        <v>86</v>
      </c>
      <c r="F171" s="19" t="s">
        <v>190</v>
      </c>
      <c r="G171" s="19" t="s">
        <v>121</v>
      </c>
      <c r="H171" s="19" t="s">
        <v>58</v>
      </c>
      <c r="I171" s="19">
        <v>34410</v>
      </c>
      <c r="J171" s="19">
        <v>1698</v>
      </c>
      <c r="K171" s="19">
        <v>1332</v>
      </c>
      <c r="L171" s="19">
        <v>110</v>
      </c>
      <c r="M171" s="19">
        <v>186</v>
      </c>
      <c r="N171" s="19">
        <v>103</v>
      </c>
      <c r="O171" s="19">
        <v>91</v>
      </c>
      <c r="P171" s="19">
        <v>91</v>
      </c>
      <c r="Q171" s="20">
        <v>9828</v>
      </c>
      <c r="R171" s="20">
        <v>0</v>
      </c>
      <c r="S171" s="19">
        <v>108</v>
      </c>
      <c r="T171" s="21">
        <v>4.9299999999999997E-2</v>
      </c>
      <c r="U171" s="21">
        <v>6.83E-2</v>
      </c>
      <c r="V171" s="20">
        <v>0</v>
      </c>
      <c r="W171" s="20">
        <v>0</v>
      </c>
      <c r="X171" s="22">
        <v>0</v>
      </c>
      <c r="Y171" s="21">
        <v>0.48480000000000001</v>
      </c>
      <c r="Z171" s="19"/>
      <c r="AA171" s="19">
        <v>98</v>
      </c>
      <c r="AB171" s="23">
        <v>4.0999999999999996</v>
      </c>
    </row>
    <row r="172" spans="1:28" ht="18" customHeight="1" x14ac:dyDescent="0.2">
      <c r="A172" s="19" t="s">
        <v>304</v>
      </c>
      <c r="B172" s="19" t="s">
        <v>285</v>
      </c>
      <c r="C172" s="19" t="s">
        <v>17</v>
      </c>
      <c r="D172" s="19" t="s">
        <v>90</v>
      </c>
      <c r="E172" s="19" t="s">
        <v>116</v>
      </c>
      <c r="F172" s="19" t="s">
        <v>187</v>
      </c>
      <c r="G172" s="19" t="s">
        <v>118</v>
      </c>
      <c r="H172" s="19" t="s">
        <v>58</v>
      </c>
      <c r="I172" s="19">
        <v>156218</v>
      </c>
      <c r="J172" s="19">
        <v>12800</v>
      </c>
      <c r="K172" s="19">
        <v>9636</v>
      </c>
      <c r="L172" s="19">
        <v>1204</v>
      </c>
      <c r="M172" s="19">
        <v>1951</v>
      </c>
      <c r="N172" s="19">
        <v>1289</v>
      </c>
      <c r="O172" s="19">
        <v>532</v>
      </c>
      <c r="P172" s="19">
        <v>532</v>
      </c>
      <c r="Q172" s="20">
        <v>26600</v>
      </c>
      <c r="R172" s="20">
        <v>0</v>
      </c>
      <c r="S172" s="19">
        <v>50</v>
      </c>
      <c r="T172" s="21">
        <v>8.1900000000000001E-2</v>
      </c>
      <c r="U172" s="21">
        <v>5.5199999999999999E-2</v>
      </c>
      <c r="V172" s="20">
        <v>0</v>
      </c>
      <c r="W172" s="20">
        <v>0</v>
      </c>
      <c r="X172" s="22">
        <v>0</v>
      </c>
      <c r="Y172" s="21">
        <v>0.67449999999999999</v>
      </c>
      <c r="Z172" s="19">
        <v>36</v>
      </c>
      <c r="AA172" s="19">
        <v>80</v>
      </c>
      <c r="AB172" s="23">
        <v>4.3</v>
      </c>
    </row>
    <row r="173" spans="1:28" ht="18" customHeight="1" x14ac:dyDescent="0.2">
      <c r="A173" s="19" t="s">
        <v>305</v>
      </c>
      <c r="B173" s="19" t="s">
        <v>285</v>
      </c>
      <c r="C173" s="19" t="s">
        <v>17</v>
      </c>
      <c r="D173" s="19" t="s">
        <v>90</v>
      </c>
      <c r="E173" s="19" t="s">
        <v>107</v>
      </c>
      <c r="F173" s="19" t="s">
        <v>187</v>
      </c>
      <c r="G173" s="19" t="s">
        <v>88</v>
      </c>
      <c r="H173" s="19" t="s">
        <v>58</v>
      </c>
      <c r="I173" s="19">
        <v>254193</v>
      </c>
      <c r="J173" s="19">
        <v>16955</v>
      </c>
      <c r="K173" s="19">
        <v>14145</v>
      </c>
      <c r="L173" s="19">
        <v>1855</v>
      </c>
      <c r="M173" s="19">
        <v>4588</v>
      </c>
      <c r="N173" s="19">
        <v>1990</v>
      </c>
      <c r="O173" s="19">
        <v>712</v>
      </c>
      <c r="P173" s="19">
        <v>712</v>
      </c>
      <c r="Q173" s="20">
        <v>93984</v>
      </c>
      <c r="R173" s="20">
        <v>0</v>
      </c>
      <c r="S173" s="19">
        <v>132</v>
      </c>
      <c r="T173" s="21">
        <v>6.6699999999999995E-2</v>
      </c>
      <c r="U173" s="21">
        <v>5.0299999999999997E-2</v>
      </c>
      <c r="V173" s="20">
        <v>0</v>
      </c>
      <c r="W173" s="20">
        <v>0</v>
      </c>
      <c r="X173" s="22">
        <v>0</v>
      </c>
      <c r="Y173" s="21">
        <v>0.4355</v>
      </c>
      <c r="Z173" s="19">
        <v>19</v>
      </c>
      <c r="AA173" s="19">
        <v>71</v>
      </c>
      <c r="AB173" s="23">
        <v>3.6</v>
      </c>
    </row>
    <row r="174" spans="1:28" ht="18" customHeight="1" x14ac:dyDescent="0.2">
      <c r="A174" s="19" t="s">
        <v>306</v>
      </c>
      <c r="B174" s="19" t="s">
        <v>285</v>
      </c>
      <c r="C174" s="19" t="s">
        <v>17</v>
      </c>
      <c r="D174" s="19" t="s">
        <v>102</v>
      </c>
      <c r="E174" s="19" t="s">
        <v>107</v>
      </c>
      <c r="F174" s="19" t="s">
        <v>92</v>
      </c>
      <c r="G174" s="19" t="s">
        <v>100</v>
      </c>
      <c r="H174" s="19" t="s">
        <v>58</v>
      </c>
      <c r="I174" s="19">
        <v>22858</v>
      </c>
      <c r="J174" s="19">
        <v>370</v>
      </c>
      <c r="K174" s="19">
        <v>385</v>
      </c>
      <c r="L174" s="19">
        <v>59</v>
      </c>
      <c r="M174" s="19">
        <v>117</v>
      </c>
      <c r="N174" s="19">
        <v>58</v>
      </c>
      <c r="O174" s="19">
        <v>25</v>
      </c>
      <c r="P174" s="19">
        <v>25</v>
      </c>
      <c r="Q174" s="20">
        <v>4225</v>
      </c>
      <c r="R174" s="20">
        <v>0</v>
      </c>
      <c r="S174" s="19">
        <v>169</v>
      </c>
      <c r="T174" s="21">
        <v>1.6199999999999999E-2</v>
      </c>
      <c r="U174" s="21">
        <v>6.4899999999999999E-2</v>
      </c>
      <c r="V174" s="20">
        <v>0</v>
      </c>
      <c r="W174" s="20">
        <v>0</v>
      </c>
      <c r="X174" s="22">
        <v>0</v>
      </c>
      <c r="Y174" s="21">
        <v>0.50109999999999999</v>
      </c>
      <c r="Z174" s="19">
        <v>13</v>
      </c>
      <c r="AA174" s="19">
        <v>65</v>
      </c>
      <c r="AB174" s="23">
        <v>4.3</v>
      </c>
    </row>
    <row r="175" spans="1:28" ht="18" customHeight="1" x14ac:dyDescent="0.2">
      <c r="A175" s="19" t="s">
        <v>307</v>
      </c>
      <c r="B175" s="19" t="s">
        <v>285</v>
      </c>
      <c r="C175" s="19" t="s">
        <v>18</v>
      </c>
      <c r="D175" s="19" t="s">
        <v>90</v>
      </c>
      <c r="E175" s="19" t="s">
        <v>107</v>
      </c>
      <c r="F175" s="19" t="s">
        <v>147</v>
      </c>
      <c r="G175" s="19" t="s">
        <v>97</v>
      </c>
      <c r="H175" s="19" t="s">
        <v>58</v>
      </c>
      <c r="I175" s="19">
        <v>170242</v>
      </c>
      <c r="J175" s="19">
        <v>12201</v>
      </c>
      <c r="K175" s="19">
        <v>12108</v>
      </c>
      <c r="L175" s="19">
        <v>1454</v>
      </c>
      <c r="M175" s="19">
        <v>3597</v>
      </c>
      <c r="N175" s="19">
        <v>2152</v>
      </c>
      <c r="O175" s="19">
        <v>604</v>
      </c>
      <c r="P175" s="19">
        <v>604</v>
      </c>
      <c r="Q175" s="20">
        <v>62816</v>
      </c>
      <c r="R175" s="20">
        <v>7038</v>
      </c>
      <c r="S175" s="19">
        <v>104</v>
      </c>
      <c r="T175" s="21">
        <v>7.17E-2</v>
      </c>
      <c r="U175" s="21">
        <v>4.99E-2</v>
      </c>
      <c r="V175" s="20">
        <v>11.65</v>
      </c>
      <c r="W175" s="20">
        <v>0.57999999999999996</v>
      </c>
      <c r="X175" s="22">
        <v>8.93</v>
      </c>
      <c r="Y175" s="21">
        <v>0.3271</v>
      </c>
      <c r="Z175" s="19"/>
      <c r="AA175" s="19">
        <v>89</v>
      </c>
      <c r="AB175" s="23">
        <v>4</v>
      </c>
    </row>
    <row r="176" spans="1:28" ht="18" customHeight="1" x14ac:dyDescent="0.2">
      <c r="A176" s="19" t="s">
        <v>308</v>
      </c>
      <c r="B176" s="19" t="s">
        <v>285</v>
      </c>
      <c r="C176" s="19" t="s">
        <v>21</v>
      </c>
      <c r="D176" s="19" t="s">
        <v>102</v>
      </c>
      <c r="E176" s="19" t="s">
        <v>91</v>
      </c>
      <c r="F176" s="19" t="s">
        <v>123</v>
      </c>
      <c r="G176" s="19" t="s">
        <v>100</v>
      </c>
      <c r="H176" s="19" t="s">
        <v>57</v>
      </c>
      <c r="I176" s="19">
        <v>234285</v>
      </c>
      <c r="J176" s="19">
        <v>5560</v>
      </c>
      <c r="K176" s="19">
        <v>5946</v>
      </c>
      <c r="L176" s="19">
        <v>1032</v>
      </c>
      <c r="M176" s="19">
        <v>1295</v>
      </c>
      <c r="N176" s="19">
        <v>793</v>
      </c>
      <c r="O176" s="19">
        <v>389</v>
      </c>
      <c r="P176" s="19">
        <v>389</v>
      </c>
      <c r="Q176" s="20">
        <v>25285</v>
      </c>
      <c r="R176" s="20">
        <v>0</v>
      </c>
      <c r="S176" s="19">
        <v>65</v>
      </c>
      <c r="T176" s="21">
        <v>2.3699999999999999E-2</v>
      </c>
      <c r="U176" s="21">
        <v>6.54E-2</v>
      </c>
      <c r="V176" s="20">
        <v>0</v>
      </c>
      <c r="W176" s="20">
        <v>0</v>
      </c>
      <c r="X176" s="22">
        <v>0</v>
      </c>
      <c r="Y176" s="21">
        <v>0.65080000000000005</v>
      </c>
      <c r="Z176" s="19"/>
      <c r="AA176" s="19">
        <v>85</v>
      </c>
      <c r="AB176" s="23">
        <v>4.4000000000000004</v>
      </c>
    </row>
    <row r="177" spans="1:28" ht="18" customHeight="1" x14ac:dyDescent="0.2">
      <c r="A177" s="19" t="s">
        <v>309</v>
      </c>
      <c r="B177" s="19" t="s">
        <v>285</v>
      </c>
      <c r="C177" s="19" t="s">
        <v>19</v>
      </c>
      <c r="D177" s="19" t="s">
        <v>85</v>
      </c>
      <c r="E177" s="19" t="s">
        <v>107</v>
      </c>
      <c r="F177" s="19" t="s">
        <v>117</v>
      </c>
      <c r="G177" s="19" t="s">
        <v>97</v>
      </c>
      <c r="H177" s="19" t="s">
        <v>58</v>
      </c>
      <c r="I177" s="19">
        <v>32204</v>
      </c>
      <c r="J177" s="19">
        <v>2429</v>
      </c>
      <c r="K177" s="19">
        <v>2289</v>
      </c>
      <c r="L177" s="19">
        <v>234</v>
      </c>
      <c r="M177" s="19">
        <v>800</v>
      </c>
      <c r="N177" s="19">
        <v>409</v>
      </c>
      <c r="O177" s="19">
        <v>79</v>
      </c>
      <c r="P177" s="19">
        <v>79</v>
      </c>
      <c r="Q177" s="20">
        <v>5135</v>
      </c>
      <c r="R177" s="20">
        <v>7920</v>
      </c>
      <c r="S177" s="19">
        <v>65</v>
      </c>
      <c r="T177" s="21">
        <v>7.5399999999999995E-2</v>
      </c>
      <c r="U177" s="21">
        <v>3.4500000000000003E-2</v>
      </c>
      <c r="V177" s="20">
        <v>100.25</v>
      </c>
      <c r="W177" s="20">
        <v>3.26</v>
      </c>
      <c r="X177" s="22">
        <v>0.65</v>
      </c>
      <c r="Y177" s="21">
        <v>0.59099999999999997</v>
      </c>
      <c r="Z177" s="19"/>
      <c r="AA177" s="19">
        <v>72</v>
      </c>
      <c r="AB177" s="23">
        <v>4.8</v>
      </c>
    </row>
    <row r="178" spans="1:28" ht="18" customHeight="1" x14ac:dyDescent="0.2">
      <c r="A178" s="19" t="s">
        <v>310</v>
      </c>
      <c r="B178" s="19" t="s">
        <v>285</v>
      </c>
      <c r="C178" s="19" t="s">
        <v>19</v>
      </c>
      <c r="D178" s="19" t="s">
        <v>85</v>
      </c>
      <c r="E178" s="19" t="s">
        <v>116</v>
      </c>
      <c r="F178" s="19" t="s">
        <v>192</v>
      </c>
      <c r="G178" s="19" t="s">
        <v>121</v>
      </c>
      <c r="H178" s="19" t="s">
        <v>58</v>
      </c>
      <c r="I178" s="19">
        <v>106581</v>
      </c>
      <c r="J178" s="19">
        <v>2570</v>
      </c>
      <c r="K178" s="19">
        <v>2677</v>
      </c>
      <c r="L178" s="19">
        <v>413</v>
      </c>
      <c r="M178" s="19">
        <v>821</v>
      </c>
      <c r="N178" s="19">
        <v>468</v>
      </c>
      <c r="O178" s="19">
        <v>35</v>
      </c>
      <c r="P178" s="19">
        <v>35</v>
      </c>
      <c r="Q178" s="20">
        <v>4795</v>
      </c>
      <c r="R178" s="20">
        <v>10501</v>
      </c>
      <c r="S178" s="19">
        <v>137</v>
      </c>
      <c r="T178" s="21">
        <v>2.41E-2</v>
      </c>
      <c r="U178" s="21">
        <v>1.3100000000000001E-2</v>
      </c>
      <c r="V178" s="20">
        <v>300.02999999999997</v>
      </c>
      <c r="W178" s="20">
        <v>4.09</v>
      </c>
      <c r="X178" s="22">
        <v>0.46</v>
      </c>
      <c r="Y178" s="21">
        <v>0.19139999999999999</v>
      </c>
      <c r="Z178" s="19"/>
      <c r="AA178" s="19">
        <v>69</v>
      </c>
      <c r="AB178" s="23">
        <v>4.5999999999999996</v>
      </c>
    </row>
    <row r="179" spans="1:28" ht="18" customHeight="1" x14ac:dyDescent="0.2">
      <c r="A179" s="19" t="s">
        <v>311</v>
      </c>
      <c r="B179" s="19" t="s">
        <v>285</v>
      </c>
      <c r="C179" s="19" t="s">
        <v>17</v>
      </c>
      <c r="D179" s="19" t="s">
        <v>102</v>
      </c>
      <c r="E179" s="19" t="s">
        <v>116</v>
      </c>
      <c r="F179" s="19" t="s">
        <v>144</v>
      </c>
      <c r="G179" s="19" t="s">
        <v>88</v>
      </c>
      <c r="H179" s="19" t="s">
        <v>57</v>
      </c>
      <c r="I179" s="19">
        <v>95383</v>
      </c>
      <c r="J179" s="19">
        <v>3000</v>
      </c>
      <c r="K179" s="19">
        <v>2891</v>
      </c>
      <c r="L179" s="19">
        <v>496</v>
      </c>
      <c r="M179" s="19">
        <v>727</v>
      </c>
      <c r="N179" s="19">
        <v>304</v>
      </c>
      <c r="O179" s="19">
        <v>163</v>
      </c>
      <c r="P179" s="19">
        <v>163</v>
      </c>
      <c r="Q179" s="20">
        <v>8802</v>
      </c>
      <c r="R179" s="20">
        <v>0</v>
      </c>
      <c r="S179" s="19">
        <v>54</v>
      </c>
      <c r="T179" s="21">
        <v>3.15E-2</v>
      </c>
      <c r="U179" s="21">
        <v>5.6399999999999999E-2</v>
      </c>
      <c r="V179" s="20">
        <v>0</v>
      </c>
      <c r="W179" s="20">
        <v>0</v>
      </c>
      <c r="X179" s="22">
        <v>0</v>
      </c>
      <c r="Y179" s="21">
        <v>0.58520000000000005</v>
      </c>
      <c r="Z179" s="19">
        <v>9</v>
      </c>
      <c r="AA179" s="19">
        <v>97</v>
      </c>
      <c r="AB179" s="23">
        <v>4.2</v>
      </c>
    </row>
    <row r="180" spans="1:28" ht="18" customHeight="1" x14ac:dyDescent="0.2">
      <c r="A180" s="19" t="s">
        <v>312</v>
      </c>
      <c r="B180" s="19" t="s">
        <v>285</v>
      </c>
      <c r="C180" s="19" t="s">
        <v>18</v>
      </c>
      <c r="D180" s="19" t="s">
        <v>90</v>
      </c>
      <c r="E180" s="19" t="s">
        <v>91</v>
      </c>
      <c r="F180" s="19" t="s">
        <v>108</v>
      </c>
      <c r="G180" s="19" t="s">
        <v>100</v>
      </c>
      <c r="H180" s="19" t="s">
        <v>57</v>
      </c>
      <c r="I180" s="19">
        <v>206111</v>
      </c>
      <c r="J180" s="19">
        <v>10176</v>
      </c>
      <c r="K180" s="19">
        <v>9742</v>
      </c>
      <c r="L180" s="19">
        <v>1025</v>
      </c>
      <c r="M180" s="19">
        <v>3250</v>
      </c>
      <c r="N180" s="19">
        <v>1581</v>
      </c>
      <c r="O180" s="19">
        <v>566</v>
      </c>
      <c r="P180" s="19">
        <v>566</v>
      </c>
      <c r="Q180" s="20">
        <v>46412</v>
      </c>
      <c r="R180" s="20">
        <v>2877</v>
      </c>
      <c r="S180" s="19">
        <v>82</v>
      </c>
      <c r="T180" s="21">
        <v>4.9399999999999999E-2</v>
      </c>
      <c r="U180" s="21">
        <v>5.8099999999999999E-2</v>
      </c>
      <c r="V180" s="20">
        <v>5.08</v>
      </c>
      <c r="W180" s="20">
        <v>0.28000000000000003</v>
      </c>
      <c r="X180" s="22">
        <v>16.13</v>
      </c>
      <c r="Y180" s="21">
        <v>0.21679999999999999</v>
      </c>
      <c r="Z180" s="19"/>
      <c r="AA180" s="19">
        <v>84</v>
      </c>
      <c r="AB180" s="23">
        <v>4.0999999999999996</v>
      </c>
    </row>
    <row r="181" spans="1:28" ht="18" customHeight="1" x14ac:dyDescent="0.2">
      <c r="A181" s="19" t="s">
        <v>313</v>
      </c>
      <c r="B181" s="19" t="s">
        <v>285</v>
      </c>
      <c r="C181" s="19" t="s">
        <v>20</v>
      </c>
      <c r="D181" s="19" t="s">
        <v>85</v>
      </c>
      <c r="E181" s="19" t="s">
        <v>116</v>
      </c>
      <c r="F181" s="19" t="s">
        <v>163</v>
      </c>
      <c r="G181" s="19" t="s">
        <v>118</v>
      </c>
      <c r="H181" s="19" t="s">
        <v>58</v>
      </c>
      <c r="I181" s="19">
        <v>103069</v>
      </c>
      <c r="J181" s="19">
        <v>5243</v>
      </c>
      <c r="K181" s="19">
        <v>4096</v>
      </c>
      <c r="L181" s="19">
        <v>488</v>
      </c>
      <c r="M181" s="19">
        <v>891</v>
      </c>
      <c r="N181" s="19">
        <v>520</v>
      </c>
      <c r="O181" s="19">
        <v>290</v>
      </c>
      <c r="P181" s="19">
        <v>290</v>
      </c>
      <c r="Q181" s="20">
        <v>44370</v>
      </c>
      <c r="R181" s="20">
        <v>27197</v>
      </c>
      <c r="S181" s="19">
        <v>153</v>
      </c>
      <c r="T181" s="21">
        <v>5.0900000000000001E-2</v>
      </c>
      <c r="U181" s="21">
        <v>7.0800000000000002E-2</v>
      </c>
      <c r="V181" s="20">
        <v>93.78</v>
      </c>
      <c r="W181" s="20">
        <v>5.19</v>
      </c>
      <c r="X181" s="22">
        <v>1.63</v>
      </c>
      <c r="Y181" s="21">
        <v>0.44550000000000001</v>
      </c>
      <c r="Z181" s="19"/>
      <c r="AA181" s="19">
        <v>72</v>
      </c>
      <c r="AB181" s="23">
        <v>4.7</v>
      </c>
    </row>
    <row r="182" spans="1:28" ht="18" customHeight="1" x14ac:dyDescent="0.2">
      <c r="A182" s="19" t="s">
        <v>314</v>
      </c>
      <c r="B182" s="19" t="s">
        <v>285</v>
      </c>
      <c r="C182" s="19" t="s">
        <v>18</v>
      </c>
      <c r="D182" s="19" t="s">
        <v>90</v>
      </c>
      <c r="E182" s="19" t="s">
        <v>91</v>
      </c>
      <c r="F182" s="19" t="s">
        <v>166</v>
      </c>
      <c r="G182" s="19" t="s">
        <v>118</v>
      </c>
      <c r="H182" s="19" t="s">
        <v>58</v>
      </c>
      <c r="I182" s="19">
        <v>152547</v>
      </c>
      <c r="J182" s="19">
        <v>4790</v>
      </c>
      <c r="K182" s="19">
        <v>4311</v>
      </c>
      <c r="L182" s="19">
        <v>654</v>
      </c>
      <c r="M182" s="19">
        <v>807</v>
      </c>
      <c r="N182" s="19">
        <v>349</v>
      </c>
      <c r="O182" s="19">
        <v>202</v>
      </c>
      <c r="P182" s="19">
        <v>202</v>
      </c>
      <c r="Q182" s="20">
        <v>18786</v>
      </c>
      <c r="R182" s="20">
        <v>18960</v>
      </c>
      <c r="S182" s="19">
        <v>93</v>
      </c>
      <c r="T182" s="21">
        <v>3.1399999999999997E-2</v>
      </c>
      <c r="U182" s="21">
        <v>4.6899999999999997E-2</v>
      </c>
      <c r="V182" s="20">
        <v>93.86</v>
      </c>
      <c r="W182" s="20">
        <v>3.96</v>
      </c>
      <c r="X182" s="22">
        <v>0.99</v>
      </c>
      <c r="Y182" s="21">
        <v>0.27389999999999998</v>
      </c>
      <c r="Z182" s="19"/>
      <c r="AA182" s="19">
        <v>95</v>
      </c>
      <c r="AB182" s="23">
        <v>4.2</v>
      </c>
    </row>
    <row r="183" spans="1:28" ht="18" customHeight="1" x14ac:dyDescent="0.2">
      <c r="A183" s="19" t="s">
        <v>315</v>
      </c>
      <c r="B183" s="19" t="s">
        <v>316</v>
      </c>
      <c r="C183" s="19" t="s">
        <v>22</v>
      </c>
      <c r="D183" s="19" t="s">
        <v>90</v>
      </c>
      <c r="E183" s="19" t="s">
        <v>86</v>
      </c>
      <c r="F183" s="19" t="s">
        <v>112</v>
      </c>
      <c r="G183" s="19" t="s">
        <v>118</v>
      </c>
      <c r="H183" s="19" t="s">
        <v>57</v>
      </c>
      <c r="I183" s="19">
        <v>56421</v>
      </c>
      <c r="J183" s="19">
        <v>2351</v>
      </c>
      <c r="K183" s="19">
        <v>2004</v>
      </c>
      <c r="L183" s="19">
        <v>246</v>
      </c>
      <c r="M183" s="19">
        <v>442</v>
      </c>
      <c r="N183" s="19">
        <v>264</v>
      </c>
      <c r="O183" s="19">
        <v>138</v>
      </c>
      <c r="P183" s="19">
        <v>138</v>
      </c>
      <c r="Q183" s="20">
        <v>11040</v>
      </c>
      <c r="R183" s="20">
        <v>0</v>
      </c>
      <c r="S183" s="19">
        <v>80</v>
      </c>
      <c r="T183" s="21">
        <v>4.1700000000000001E-2</v>
      </c>
      <c r="U183" s="21">
        <v>6.8900000000000003E-2</v>
      </c>
      <c r="V183" s="20">
        <v>0</v>
      </c>
      <c r="W183" s="20">
        <v>0</v>
      </c>
      <c r="X183" s="22">
        <v>0</v>
      </c>
      <c r="Y183" s="21">
        <v>0.34160000000000001</v>
      </c>
      <c r="Z183" s="19"/>
      <c r="AA183" s="19">
        <v>88</v>
      </c>
      <c r="AB183" s="23">
        <v>4.7</v>
      </c>
    </row>
    <row r="184" spans="1:28" ht="18" customHeight="1" x14ac:dyDescent="0.2">
      <c r="A184" s="19" t="s">
        <v>317</v>
      </c>
      <c r="B184" s="19" t="s">
        <v>316</v>
      </c>
      <c r="C184" s="19" t="s">
        <v>19</v>
      </c>
      <c r="D184" s="19" t="s">
        <v>102</v>
      </c>
      <c r="E184" s="19" t="s">
        <v>114</v>
      </c>
      <c r="F184" s="19" t="s">
        <v>192</v>
      </c>
      <c r="G184" s="19" t="s">
        <v>93</v>
      </c>
      <c r="H184" s="19" t="s">
        <v>58</v>
      </c>
      <c r="I184" s="19">
        <v>215011</v>
      </c>
      <c r="J184" s="19">
        <v>11550</v>
      </c>
      <c r="K184" s="19">
        <v>11595</v>
      </c>
      <c r="L184" s="19">
        <v>2241</v>
      </c>
      <c r="M184" s="19">
        <v>1757</v>
      </c>
      <c r="N184" s="19">
        <v>659</v>
      </c>
      <c r="O184" s="19">
        <v>357</v>
      </c>
      <c r="P184" s="19">
        <v>357</v>
      </c>
      <c r="Q184" s="20">
        <v>46053</v>
      </c>
      <c r="R184" s="20">
        <v>27501</v>
      </c>
      <c r="S184" s="19">
        <v>129</v>
      </c>
      <c r="T184" s="21">
        <v>5.3699999999999998E-2</v>
      </c>
      <c r="U184" s="21">
        <v>3.0800000000000001E-2</v>
      </c>
      <c r="V184" s="20">
        <v>77.03</v>
      </c>
      <c r="W184" s="20">
        <v>2.38</v>
      </c>
      <c r="X184" s="22">
        <v>1.67</v>
      </c>
      <c r="Y184" s="21">
        <v>0.28970000000000001</v>
      </c>
      <c r="Z184" s="19"/>
      <c r="AA184" s="19">
        <v>91</v>
      </c>
      <c r="AB184" s="23">
        <v>3.9</v>
      </c>
    </row>
    <row r="185" spans="1:28" ht="18" customHeight="1" x14ac:dyDescent="0.2">
      <c r="A185" s="19" t="s">
        <v>318</v>
      </c>
      <c r="B185" s="19" t="s">
        <v>316</v>
      </c>
      <c r="C185" s="19" t="s">
        <v>19</v>
      </c>
      <c r="D185" s="19" t="s">
        <v>85</v>
      </c>
      <c r="E185" s="19" t="s">
        <v>116</v>
      </c>
      <c r="F185" s="19" t="s">
        <v>117</v>
      </c>
      <c r="G185" s="19" t="s">
        <v>93</v>
      </c>
      <c r="H185" s="19" t="s">
        <v>57</v>
      </c>
      <c r="I185" s="19">
        <v>173515</v>
      </c>
      <c r="J185" s="19">
        <v>11663</v>
      </c>
      <c r="K185" s="19">
        <v>12488</v>
      </c>
      <c r="L185" s="19">
        <v>2698</v>
      </c>
      <c r="M185" s="19">
        <v>3950</v>
      </c>
      <c r="N185" s="19">
        <v>2216</v>
      </c>
      <c r="O185" s="19">
        <v>202</v>
      </c>
      <c r="P185" s="19">
        <v>202</v>
      </c>
      <c r="Q185" s="20">
        <v>31310</v>
      </c>
      <c r="R185" s="20">
        <v>27329</v>
      </c>
      <c r="S185" s="19">
        <v>155</v>
      </c>
      <c r="T185" s="21">
        <v>6.7199999999999996E-2</v>
      </c>
      <c r="U185" s="21">
        <v>1.6199999999999999E-2</v>
      </c>
      <c r="V185" s="20">
        <v>135.29</v>
      </c>
      <c r="W185" s="20">
        <v>2.34</v>
      </c>
      <c r="X185" s="22">
        <v>1.1499999999999999</v>
      </c>
      <c r="Y185" s="21">
        <v>0.38800000000000001</v>
      </c>
      <c r="Z185" s="19"/>
      <c r="AA185" s="19">
        <v>90</v>
      </c>
      <c r="AB185" s="23">
        <v>3.7</v>
      </c>
    </row>
    <row r="186" spans="1:28" ht="18" customHeight="1" x14ac:dyDescent="0.2">
      <c r="A186" s="19" t="s">
        <v>319</v>
      </c>
      <c r="B186" s="19" t="s">
        <v>316</v>
      </c>
      <c r="C186" s="19" t="s">
        <v>18</v>
      </c>
      <c r="D186" s="19" t="s">
        <v>90</v>
      </c>
      <c r="E186" s="19" t="s">
        <v>107</v>
      </c>
      <c r="F186" s="19" t="s">
        <v>176</v>
      </c>
      <c r="G186" s="19" t="s">
        <v>121</v>
      </c>
      <c r="H186" s="19" t="s">
        <v>57</v>
      </c>
      <c r="I186" s="19">
        <v>38257</v>
      </c>
      <c r="J186" s="19">
        <v>466</v>
      </c>
      <c r="K186" s="19">
        <v>471</v>
      </c>
      <c r="L186" s="19">
        <v>94</v>
      </c>
      <c r="M186" s="19">
        <v>135</v>
      </c>
      <c r="N186" s="19">
        <v>83</v>
      </c>
      <c r="O186" s="19">
        <v>22</v>
      </c>
      <c r="P186" s="19">
        <v>22</v>
      </c>
      <c r="Q186" s="20">
        <v>2222</v>
      </c>
      <c r="R186" s="20">
        <v>33489</v>
      </c>
      <c r="S186" s="19">
        <v>101</v>
      </c>
      <c r="T186" s="21">
        <v>1.2200000000000001E-2</v>
      </c>
      <c r="U186" s="21">
        <v>4.6699999999999998E-2</v>
      </c>
      <c r="V186" s="20">
        <v>1522.23</v>
      </c>
      <c r="W186" s="20">
        <v>71.86</v>
      </c>
      <c r="X186" s="22">
        <v>7.0000000000000007E-2</v>
      </c>
      <c r="Y186" s="21">
        <v>0.37030000000000002</v>
      </c>
      <c r="Z186" s="19"/>
      <c r="AA186" s="19">
        <v>89</v>
      </c>
      <c r="AB186" s="23">
        <v>4.5999999999999996</v>
      </c>
    </row>
    <row r="187" spans="1:28" ht="18" customHeight="1" x14ac:dyDescent="0.2">
      <c r="A187" s="19" t="s">
        <v>320</v>
      </c>
      <c r="B187" s="19" t="s">
        <v>316</v>
      </c>
      <c r="C187" s="19" t="s">
        <v>22</v>
      </c>
      <c r="D187" s="19" t="s">
        <v>90</v>
      </c>
      <c r="E187" s="19" t="s">
        <v>114</v>
      </c>
      <c r="F187" s="19" t="s">
        <v>136</v>
      </c>
      <c r="G187" s="19" t="s">
        <v>93</v>
      </c>
      <c r="H187" s="19" t="s">
        <v>57</v>
      </c>
      <c r="I187" s="19">
        <v>132036</v>
      </c>
      <c r="J187" s="19">
        <v>4685</v>
      </c>
      <c r="K187" s="19">
        <v>4467</v>
      </c>
      <c r="L187" s="19">
        <v>421</v>
      </c>
      <c r="M187" s="19">
        <v>1535</v>
      </c>
      <c r="N187" s="19">
        <v>1010</v>
      </c>
      <c r="O187" s="19">
        <v>238</v>
      </c>
      <c r="P187" s="19">
        <v>238</v>
      </c>
      <c r="Q187" s="20">
        <v>14518</v>
      </c>
      <c r="R187" s="20">
        <v>0</v>
      </c>
      <c r="S187" s="19">
        <v>61</v>
      </c>
      <c r="T187" s="21">
        <v>3.5499999999999997E-2</v>
      </c>
      <c r="U187" s="21">
        <v>5.33E-2</v>
      </c>
      <c r="V187" s="20">
        <v>0</v>
      </c>
      <c r="W187" s="20">
        <v>0</v>
      </c>
      <c r="X187" s="22">
        <v>0</v>
      </c>
      <c r="Y187" s="21">
        <v>0.60350000000000004</v>
      </c>
      <c r="Z187" s="19"/>
      <c r="AA187" s="19">
        <v>67</v>
      </c>
      <c r="AB187" s="23">
        <v>4.2</v>
      </c>
    </row>
    <row r="188" spans="1:28" ht="18" customHeight="1" x14ac:dyDescent="0.2">
      <c r="A188" s="19" t="s">
        <v>321</v>
      </c>
      <c r="B188" s="19" t="s">
        <v>316</v>
      </c>
      <c r="C188" s="19" t="s">
        <v>17</v>
      </c>
      <c r="D188" s="19" t="s">
        <v>85</v>
      </c>
      <c r="E188" s="19" t="s">
        <v>107</v>
      </c>
      <c r="F188" s="19" t="s">
        <v>110</v>
      </c>
      <c r="G188" s="19" t="s">
        <v>97</v>
      </c>
      <c r="H188" s="19" t="s">
        <v>57</v>
      </c>
      <c r="I188" s="19">
        <v>84866</v>
      </c>
      <c r="J188" s="19">
        <v>1269</v>
      </c>
      <c r="K188" s="19">
        <v>1291</v>
      </c>
      <c r="L188" s="19">
        <v>209</v>
      </c>
      <c r="M188" s="19">
        <v>162</v>
      </c>
      <c r="N188" s="19">
        <v>64</v>
      </c>
      <c r="O188" s="19">
        <v>78</v>
      </c>
      <c r="P188" s="19">
        <v>64</v>
      </c>
      <c r="Q188" s="20">
        <v>10686</v>
      </c>
      <c r="R188" s="20">
        <v>0</v>
      </c>
      <c r="S188" s="19">
        <v>137</v>
      </c>
      <c r="T188" s="21">
        <v>1.4999999999999999E-2</v>
      </c>
      <c r="U188" s="21">
        <v>6.0400000000000002E-2</v>
      </c>
      <c r="V188" s="20">
        <v>0</v>
      </c>
      <c r="W188" s="20">
        <v>0</v>
      </c>
      <c r="X188" s="22">
        <v>0</v>
      </c>
      <c r="Y188" s="21">
        <v>0.43020000000000003</v>
      </c>
      <c r="Z188" s="19">
        <v>23</v>
      </c>
      <c r="AA188" s="19">
        <v>62</v>
      </c>
      <c r="AB188" s="23">
        <v>3.8</v>
      </c>
    </row>
    <row r="189" spans="1:28" ht="18" customHeight="1" x14ac:dyDescent="0.2">
      <c r="A189" s="19" t="s">
        <v>322</v>
      </c>
      <c r="B189" s="19" t="s">
        <v>316</v>
      </c>
      <c r="C189" s="19" t="s">
        <v>18</v>
      </c>
      <c r="D189" s="19" t="s">
        <v>85</v>
      </c>
      <c r="E189" s="19" t="s">
        <v>114</v>
      </c>
      <c r="F189" s="19" t="s">
        <v>108</v>
      </c>
      <c r="G189" s="19" t="s">
        <v>97</v>
      </c>
      <c r="H189" s="19" t="s">
        <v>57</v>
      </c>
      <c r="I189" s="19">
        <v>74931</v>
      </c>
      <c r="J189" s="19">
        <v>1523</v>
      </c>
      <c r="K189" s="19">
        <v>1175</v>
      </c>
      <c r="L189" s="19">
        <v>177</v>
      </c>
      <c r="M189" s="19">
        <v>143</v>
      </c>
      <c r="N189" s="19">
        <v>101</v>
      </c>
      <c r="O189" s="19">
        <v>41</v>
      </c>
      <c r="P189" s="19">
        <v>41</v>
      </c>
      <c r="Q189" s="20">
        <v>2214</v>
      </c>
      <c r="R189" s="20">
        <v>4141</v>
      </c>
      <c r="S189" s="19">
        <v>54</v>
      </c>
      <c r="T189" s="21">
        <v>2.0299999999999999E-2</v>
      </c>
      <c r="U189" s="21">
        <v>3.49E-2</v>
      </c>
      <c r="V189" s="20">
        <v>101</v>
      </c>
      <c r="W189" s="20">
        <v>2.72</v>
      </c>
      <c r="X189" s="22">
        <v>0.53</v>
      </c>
      <c r="Y189" s="21">
        <v>0.38479999999999998</v>
      </c>
      <c r="Z189" s="19"/>
      <c r="AA189" s="19">
        <v>79</v>
      </c>
      <c r="AB189" s="23">
        <v>4.0999999999999996</v>
      </c>
    </row>
    <row r="190" spans="1:28" ht="18" customHeight="1" x14ac:dyDescent="0.2">
      <c r="A190" s="19" t="s">
        <v>323</v>
      </c>
      <c r="B190" s="19" t="s">
        <v>316</v>
      </c>
      <c r="C190" s="19" t="s">
        <v>18</v>
      </c>
      <c r="D190" s="19" t="s">
        <v>85</v>
      </c>
      <c r="E190" s="19" t="s">
        <v>114</v>
      </c>
      <c r="F190" s="19" t="s">
        <v>176</v>
      </c>
      <c r="G190" s="19" t="s">
        <v>100</v>
      </c>
      <c r="H190" s="19" t="s">
        <v>58</v>
      </c>
      <c r="I190" s="19">
        <v>152017</v>
      </c>
      <c r="J190" s="19">
        <v>9714</v>
      </c>
      <c r="K190" s="19">
        <v>10218</v>
      </c>
      <c r="L190" s="19">
        <v>938</v>
      </c>
      <c r="M190" s="19">
        <v>2077</v>
      </c>
      <c r="N190" s="19">
        <v>1021</v>
      </c>
      <c r="O190" s="19">
        <v>652</v>
      </c>
      <c r="P190" s="19">
        <v>652</v>
      </c>
      <c r="Q190" s="20">
        <v>114100</v>
      </c>
      <c r="R190" s="20">
        <v>13612</v>
      </c>
      <c r="S190" s="19">
        <v>175</v>
      </c>
      <c r="T190" s="21">
        <v>6.3899999999999998E-2</v>
      </c>
      <c r="U190" s="21">
        <v>6.3799999999999996E-2</v>
      </c>
      <c r="V190" s="20">
        <v>20.88</v>
      </c>
      <c r="W190" s="20">
        <v>1.4</v>
      </c>
      <c r="X190" s="22">
        <v>8.3800000000000008</v>
      </c>
      <c r="Y190" s="21">
        <v>0.29249999999999998</v>
      </c>
      <c r="Z190" s="19"/>
      <c r="AA190" s="19">
        <v>77</v>
      </c>
      <c r="AB190" s="23">
        <v>4.7</v>
      </c>
    </row>
    <row r="191" spans="1:28" ht="18" customHeight="1" x14ac:dyDescent="0.2">
      <c r="A191" s="19" t="s">
        <v>324</v>
      </c>
      <c r="B191" s="19" t="s">
        <v>316</v>
      </c>
      <c r="C191" s="19" t="s">
        <v>21</v>
      </c>
      <c r="D191" s="19" t="s">
        <v>85</v>
      </c>
      <c r="E191" s="19" t="s">
        <v>95</v>
      </c>
      <c r="F191" s="19" t="s">
        <v>96</v>
      </c>
      <c r="G191" s="19" t="s">
        <v>121</v>
      </c>
      <c r="H191" s="19" t="s">
        <v>57</v>
      </c>
      <c r="I191" s="19">
        <v>85775</v>
      </c>
      <c r="J191" s="19">
        <v>5484</v>
      </c>
      <c r="K191" s="19">
        <v>4092</v>
      </c>
      <c r="L191" s="19">
        <v>620</v>
      </c>
      <c r="M191" s="19">
        <v>847</v>
      </c>
      <c r="N191" s="19">
        <v>569</v>
      </c>
      <c r="O191" s="19">
        <v>188</v>
      </c>
      <c r="P191" s="19">
        <v>188</v>
      </c>
      <c r="Q191" s="20">
        <v>17296</v>
      </c>
      <c r="R191" s="20">
        <v>0</v>
      </c>
      <c r="S191" s="19">
        <v>92</v>
      </c>
      <c r="T191" s="21">
        <v>6.3899999999999998E-2</v>
      </c>
      <c r="U191" s="21">
        <v>4.5900000000000003E-2</v>
      </c>
      <c r="V191" s="20">
        <v>0</v>
      </c>
      <c r="W191" s="20">
        <v>0</v>
      </c>
      <c r="X191" s="22">
        <v>0</v>
      </c>
      <c r="Y191" s="21">
        <v>0.55500000000000005</v>
      </c>
      <c r="Z191" s="19"/>
      <c r="AA191" s="19">
        <v>65</v>
      </c>
      <c r="AB191" s="23">
        <v>3.7</v>
      </c>
    </row>
    <row r="192" spans="1:28" ht="18" customHeight="1" x14ac:dyDescent="0.2">
      <c r="A192" s="19" t="s">
        <v>325</v>
      </c>
      <c r="B192" s="19" t="s">
        <v>316</v>
      </c>
      <c r="C192" s="19" t="s">
        <v>22</v>
      </c>
      <c r="D192" s="19" t="s">
        <v>90</v>
      </c>
      <c r="E192" s="19" t="s">
        <v>107</v>
      </c>
      <c r="F192" s="19" t="s">
        <v>120</v>
      </c>
      <c r="G192" s="19" t="s">
        <v>88</v>
      </c>
      <c r="H192" s="19" t="s">
        <v>58</v>
      </c>
      <c r="I192" s="19">
        <v>151248</v>
      </c>
      <c r="J192" s="19">
        <v>7806</v>
      </c>
      <c r="K192" s="19">
        <v>7965</v>
      </c>
      <c r="L192" s="19">
        <v>1596</v>
      </c>
      <c r="M192" s="19">
        <v>2227</v>
      </c>
      <c r="N192" s="19">
        <v>1145</v>
      </c>
      <c r="O192" s="19">
        <v>322</v>
      </c>
      <c r="P192" s="19">
        <v>322</v>
      </c>
      <c r="Q192" s="20">
        <v>52164</v>
      </c>
      <c r="R192" s="20">
        <v>0</v>
      </c>
      <c r="S192" s="19">
        <v>162</v>
      </c>
      <c r="T192" s="21">
        <v>5.16E-2</v>
      </c>
      <c r="U192" s="21">
        <v>4.0399999999999998E-2</v>
      </c>
      <c r="V192" s="20">
        <v>0</v>
      </c>
      <c r="W192" s="20">
        <v>0</v>
      </c>
      <c r="X192" s="22">
        <v>0</v>
      </c>
      <c r="Y192" s="21">
        <v>0.20580000000000001</v>
      </c>
      <c r="Z192" s="19"/>
      <c r="AA192" s="19">
        <v>68</v>
      </c>
      <c r="AB192" s="23">
        <v>3.8</v>
      </c>
    </row>
    <row r="193" spans="1:28" ht="18" customHeight="1" x14ac:dyDescent="0.2">
      <c r="A193" s="19" t="s">
        <v>326</v>
      </c>
      <c r="B193" s="19" t="s">
        <v>316</v>
      </c>
      <c r="C193" s="19" t="s">
        <v>22</v>
      </c>
      <c r="D193" s="19" t="s">
        <v>85</v>
      </c>
      <c r="E193" s="19" t="s">
        <v>91</v>
      </c>
      <c r="F193" s="19" t="s">
        <v>138</v>
      </c>
      <c r="G193" s="19" t="s">
        <v>88</v>
      </c>
      <c r="H193" s="19" t="s">
        <v>58</v>
      </c>
      <c r="I193" s="19">
        <v>22722</v>
      </c>
      <c r="J193" s="19">
        <v>458</v>
      </c>
      <c r="K193" s="19">
        <v>479</v>
      </c>
      <c r="L193" s="19">
        <v>71</v>
      </c>
      <c r="M193" s="19">
        <v>71</v>
      </c>
      <c r="N193" s="19">
        <v>51</v>
      </c>
      <c r="O193" s="19">
        <v>21</v>
      </c>
      <c r="P193" s="19">
        <v>21</v>
      </c>
      <c r="Q193" s="20">
        <v>3255</v>
      </c>
      <c r="R193" s="20">
        <v>0</v>
      </c>
      <c r="S193" s="19">
        <v>155</v>
      </c>
      <c r="T193" s="21">
        <v>2.0199999999999999E-2</v>
      </c>
      <c r="U193" s="21">
        <v>4.3799999999999999E-2</v>
      </c>
      <c r="V193" s="20">
        <v>0</v>
      </c>
      <c r="W193" s="20">
        <v>0</v>
      </c>
      <c r="X193" s="22">
        <v>0</v>
      </c>
      <c r="Y193" s="21">
        <v>0.57069999999999999</v>
      </c>
      <c r="Z193" s="19"/>
      <c r="AA193" s="19">
        <v>73</v>
      </c>
      <c r="AB193" s="23">
        <v>4.7</v>
      </c>
    </row>
    <row r="194" spans="1:28" ht="18" customHeight="1" x14ac:dyDescent="0.2">
      <c r="A194" s="19" t="s">
        <v>327</v>
      </c>
      <c r="B194" s="19" t="s">
        <v>316</v>
      </c>
      <c r="C194" s="19" t="s">
        <v>17</v>
      </c>
      <c r="D194" s="19" t="s">
        <v>90</v>
      </c>
      <c r="E194" s="19" t="s">
        <v>95</v>
      </c>
      <c r="F194" s="19" t="s">
        <v>187</v>
      </c>
      <c r="G194" s="19" t="s">
        <v>93</v>
      </c>
      <c r="H194" s="19" t="s">
        <v>57</v>
      </c>
      <c r="I194" s="19">
        <v>69032</v>
      </c>
      <c r="J194" s="19">
        <v>3234</v>
      </c>
      <c r="K194" s="19">
        <v>2469</v>
      </c>
      <c r="L194" s="19">
        <v>400</v>
      </c>
      <c r="M194" s="19">
        <v>783</v>
      </c>
      <c r="N194" s="19">
        <v>512</v>
      </c>
      <c r="O194" s="19">
        <v>76</v>
      </c>
      <c r="P194" s="19">
        <v>76</v>
      </c>
      <c r="Q194" s="20">
        <v>9044</v>
      </c>
      <c r="R194" s="20">
        <v>0</v>
      </c>
      <c r="S194" s="19">
        <v>119</v>
      </c>
      <c r="T194" s="21">
        <v>4.6800000000000001E-2</v>
      </c>
      <c r="U194" s="21">
        <v>3.0800000000000001E-2</v>
      </c>
      <c r="V194" s="20">
        <v>0</v>
      </c>
      <c r="W194" s="20">
        <v>0</v>
      </c>
      <c r="X194" s="22">
        <v>0</v>
      </c>
      <c r="Y194" s="21">
        <v>0.45739999999999997</v>
      </c>
      <c r="Z194" s="19">
        <v>25</v>
      </c>
      <c r="AA194" s="19">
        <v>93</v>
      </c>
      <c r="AB194" s="23">
        <v>4</v>
      </c>
    </row>
    <row r="195" spans="1:28" ht="18" customHeight="1" x14ac:dyDescent="0.2">
      <c r="A195" s="19" t="s">
        <v>328</v>
      </c>
      <c r="B195" s="19" t="s">
        <v>316</v>
      </c>
      <c r="C195" s="19" t="s">
        <v>21</v>
      </c>
      <c r="D195" s="19" t="s">
        <v>85</v>
      </c>
      <c r="E195" s="19" t="s">
        <v>95</v>
      </c>
      <c r="F195" s="19" t="s">
        <v>123</v>
      </c>
      <c r="G195" s="19" t="s">
        <v>88</v>
      </c>
      <c r="H195" s="19" t="s">
        <v>57</v>
      </c>
      <c r="I195" s="19">
        <v>79961</v>
      </c>
      <c r="J195" s="19">
        <v>4157</v>
      </c>
      <c r="K195" s="19">
        <v>3584</v>
      </c>
      <c r="L195" s="19">
        <v>695</v>
      </c>
      <c r="M195" s="19">
        <v>687</v>
      </c>
      <c r="N195" s="19">
        <v>369</v>
      </c>
      <c r="O195" s="19">
        <v>252</v>
      </c>
      <c r="P195" s="19">
        <v>252</v>
      </c>
      <c r="Q195" s="20">
        <v>18648</v>
      </c>
      <c r="R195" s="20">
        <v>0</v>
      </c>
      <c r="S195" s="19">
        <v>74</v>
      </c>
      <c r="T195" s="21">
        <v>5.1999999999999998E-2</v>
      </c>
      <c r="U195" s="21">
        <v>7.0300000000000001E-2</v>
      </c>
      <c r="V195" s="20">
        <v>0</v>
      </c>
      <c r="W195" s="20">
        <v>0</v>
      </c>
      <c r="X195" s="22">
        <v>0</v>
      </c>
      <c r="Y195" s="21">
        <v>0.4778</v>
      </c>
      <c r="Z195" s="19"/>
      <c r="AA195" s="19">
        <v>70</v>
      </c>
      <c r="AB195" s="23">
        <v>3.7</v>
      </c>
    </row>
    <row r="196" spans="1:28" ht="18" customHeight="1" x14ac:dyDescent="0.2">
      <c r="A196" s="19" t="s">
        <v>329</v>
      </c>
      <c r="B196" s="19" t="s">
        <v>316</v>
      </c>
      <c r="C196" s="19" t="s">
        <v>18</v>
      </c>
      <c r="D196" s="19" t="s">
        <v>90</v>
      </c>
      <c r="E196" s="19" t="s">
        <v>86</v>
      </c>
      <c r="F196" s="19" t="s">
        <v>166</v>
      </c>
      <c r="G196" s="19" t="s">
        <v>118</v>
      </c>
      <c r="H196" s="19" t="s">
        <v>58</v>
      </c>
      <c r="I196" s="19">
        <v>250986</v>
      </c>
      <c r="J196" s="19">
        <v>18145</v>
      </c>
      <c r="K196" s="19">
        <v>13349</v>
      </c>
      <c r="L196" s="19">
        <v>2227</v>
      </c>
      <c r="M196" s="19">
        <v>2821</v>
      </c>
      <c r="N196" s="19">
        <v>1352</v>
      </c>
      <c r="O196" s="19">
        <v>693</v>
      </c>
      <c r="P196" s="19">
        <v>693</v>
      </c>
      <c r="Q196" s="20">
        <v>106722</v>
      </c>
      <c r="R196" s="20">
        <v>19891</v>
      </c>
      <c r="S196" s="19">
        <v>154</v>
      </c>
      <c r="T196" s="21">
        <v>7.2300000000000003E-2</v>
      </c>
      <c r="U196" s="21">
        <v>5.1900000000000002E-2</v>
      </c>
      <c r="V196" s="20">
        <v>28.7</v>
      </c>
      <c r="W196" s="20">
        <v>1.1000000000000001</v>
      </c>
      <c r="X196" s="22">
        <v>5.37</v>
      </c>
      <c r="Y196" s="21">
        <v>0.26850000000000002</v>
      </c>
      <c r="Z196" s="19"/>
      <c r="AA196" s="19">
        <v>98</v>
      </c>
      <c r="AB196" s="23">
        <v>4.5999999999999996</v>
      </c>
    </row>
    <row r="197" spans="1:28" ht="18" customHeight="1" x14ac:dyDescent="0.2">
      <c r="A197" s="19" t="s">
        <v>330</v>
      </c>
      <c r="B197" s="19" t="s">
        <v>316</v>
      </c>
      <c r="C197" s="19" t="s">
        <v>18</v>
      </c>
      <c r="D197" s="19" t="s">
        <v>102</v>
      </c>
      <c r="E197" s="19" t="s">
        <v>107</v>
      </c>
      <c r="F197" s="19" t="s">
        <v>166</v>
      </c>
      <c r="G197" s="19" t="s">
        <v>88</v>
      </c>
      <c r="H197" s="19" t="s">
        <v>57</v>
      </c>
      <c r="I197" s="19">
        <v>246829</v>
      </c>
      <c r="J197" s="19">
        <v>3809</v>
      </c>
      <c r="K197" s="19">
        <v>3857</v>
      </c>
      <c r="L197" s="19">
        <v>540</v>
      </c>
      <c r="M197" s="19">
        <v>1171</v>
      </c>
      <c r="N197" s="19">
        <v>603</v>
      </c>
      <c r="O197" s="19">
        <v>236</v>
      </c>
      <c r="P197" s="19">
        <v>236</v>
      </c>
      <c r="Q197" s="20">
        <v>40592</v>
      </c>
      <c r="R197" s="20">
        <v>3566</v>
      </c>
      <c r="S197" s="19">
        <v>172</v>
      </c>
      <c r="T197" s="21">
        <v>1.54E-2</v>
      </c>
      <c r="U197" s="21">
        <v>6.1199999999999997E-2</v>
      </c>
      <c r="V197" s="20">
        <v>15.11</v>
      </c>
      <c r="W197" s="20">
        <v>0.94</v>
      </c>
      <c r="X197" s="22">
        <v>11.38</v>
      </c>
      <c r="Y197" s="21">
        <v>0.40500000000000003</v>
      </c>
      <c r="Z197" s="19"/>
      <c r="AA197" s="19">
        <v>79</v>
      </c>
      <c r="AB197" s="23">
        <v>4.0999999999999996</v>
      </c>
    </row>
    <row r="198" spans="1:28" ht="18" customHeight="1" x14ac:dyDescent="0.2">
      <c r="A198" s="19" t="s">
        <v>331</v>
      </c>
      <c r="B198" s="19" t="s">
        <v>316</v>
      </c>
      <c r="C198" s="19" t="s">
        <v>18</v>
      </c>
      <c r="D198" s="19" t="s">
        <v>102</v>
      </c>
      <c r="E198" s="19" t="s">
        <v>95</v>
      </c>
      <c r="F198" s="19" t="s">
        <v>166</v>
      </c>
      <c r="G198" s="19" t="s">
        <v>121</v>
      </c>
      <c r="H198" s="19" t="s">
        <v>57</v>
      </c>
      <c r="I198" s="19">
        <v>167538</v>
      </c>
      <c r="J198" s="19">
        <v>2336</v>
      </c>
      <c r="K198" s="19">
        <v>1789</v>
      </c>
      <c r="L198" s="19">
        <v>320</v>
      </c>
      <c r="M198" s="19">
        <v>573</v>
      </c>
      <c r="N198" s="19">
        <v>284</v>
      </c>
      <c r="O198" s="19">
        <v>99</v>
      </c>
      <c r="P198" s="19">
        <v>99</v>
      </c>
      <c r="Q198" s="20">
        <v>8514</v>
      </c>
      <c r="R198" s="20">
        <v>18002</v>
      </c>
      <c r="S198" s="19">
        <v>86</v>
      </c>
      <c r="T198" s="21">
        <v>1.3899999999999999E-2</v>
      </c>
      <c r="U198" s="21">
        <v>5.5300000000000002E-2</v>
      </c>
      <c r="V198" s="20">
        <v>181.84</v>
      </c>
      <c r="W198" s="20">
        <v>7.71</v>
      </c>
      <c r="X198" s="22">
        <v>0.47</v>
      </c>
      <c r="Y198" s="21">
        <v>0.3075</v>
      </c>
      <c r="Z198" s="19"/>
      <c r="AA198" s="19">
        <v>62</v>
      </c>
      <c r="AB198" s="23">
        <v>3.9</v>
      </c>
    </row>
    <row r="199" spans="1:28" ht="18" customHeight="1" x14ac:dyDescent="0.2">
      <c r="A199" s="19" t="s">
        <v>332</v>
      </c>
      <c r="B199" s="19" t="s">
        <v>316</v>
      </c>
      <c r="C199" s="19" t="s">
        <v>22</v>
      </c>
      <c r="D199" s="19" t="s">
        <v>90</v>
      </c>
      <c r="E199" s="19" t="s">
        <v>116</v>
      </c>
      <c r="F199" s="19" t="s">
        <v>136</v>
      </c>
      <c r="G199" s="19" t="s">
        <v>93</v>
      </c>
      <c r="H199" s="19" t="s">
        <v>57</v>
      </c>
      <c r="I199" s="19">
        <v>79197</v>
      </c>
      <c r="J199" s="19">
        <v>6054</v>
      </c>
      <c r="K199" s="19">
        <v>5646</v>
      </c>
      <c r="L199" s="19">
        <v>524</v>
      </c>
      <c r="M199" s="19">
        <v>1660</v>
      </c>
      <c r="N199" s="19">
        <v>980</v>
      </c>
      <c r="O199" s="19">
        <v>339</v>
      </c>
      <c r="P199" s="19">
        <v>339</v>
      </c>
      <c r="Q199" s="20">
        <v>46104</v>
      </c>
      <c r="R199" s="20">
        <v>0</v>
      </c>
      <c r="S199" s="19">
        <v>136</v>
      </c>
      <c r="T199" s="21">
        <v>7.6399999999999996E-2</v>
      </c>
      <c r="U199" s="21">
        <v>0.06</v>
      </c>
      <c r="V199" s="20">
        <v>0</v>
      </c>
      <c r="W199" s="20">
        <v>0</v>
      </c>
      <c r="X199" s="22">
        <v>0</v>
      </c>
      <c r="Y199" s="21">
        <v>0.43130000000000002</v>
      </c>
      <c r="Z199" s="19"/>
      <c r="AA199" s="19">
        <v>67</v>
      </c>
      <c r="AB199" s="23">
        <v>3.8</v>
      </c>
    </row>
    <row r="200" spans="1:28" ht="18" customHeight="1" x14ac:dyDescent="0.2">
      <c r="A200" s="19" t="s">
        <v>333</v>
      </c>
      <c r="B200" s="19" t="s">
        <v>316</v>
      </c>
      <c r="C200" s="19" t="s">
        <v>18</v>
      </c>
      <c r="D200" s="19" t="s">
        <v>90</v>
      </c>
      <c r="E200" s="19" t="s">
        <v>107</v>
      </c>
      <c r="F200" s="19" t="s">
        <v>108</v>
      </c>
      <c r="G200" s="19" t="s">
        <v>118</v>
      </c>
      <c r="H200" s="19" t="s">
        <v>57</v>
      </c>
      <c r="I200" s="19">
        <v>172655</v>
      </c>
      <c r="J200" s="19">
        <v>7895</v>
      </c>
      <c r="K200" s="19">
        <v>8133</v>
      </c>
      <c r="L200" s="19">
        <v>1379</v>
      </c>
      <c r="M200" s="19">
        <v>1526</v>
      </c>
      <c r="N200" s="19">
        <v>845</v>
      </c>
      <c r="O200" s="19">
        <v>435</v>
      </c>
      <c r="P200" s="19">
        <v>435</v>
      </c>
      <c r="Q200" s="20">
        <v>30450</v>
      </c>
      <c r="R200" s="20">
        <v>27679</v>
      </c>
      <c r="S200" s="19">
        <v>70</v>
      </c>
      <c r="T200" s="21">
        <v>4.5699999999999998E-2</v>
      </c>
      <c r="U200" s="21">
        <v>5.3499999999999999E-2</v>
      </c>
      <c r="V200" s="20">
        <v>63.63</v>
      </c>
      <c r="W200" s="20">
        <v>3.51</v>
      </c>
      <c r="X200" s="22">
        <v>1.1000000000000001</v>
      </c>
      <c r="Y200" s="21">
        <v>0.33850000000000002</v>
      </c>
      <c r="Z200" s="19"/>
      <c r="AA200" s="19">
        <v>73</v>
      </c>
      <c r="AB200" s="23">
        <v>4.3</v>
      </c>
    </row>
    <row r="201" spans="1:28" ht="18" customHeight="1" x14ac:dyDescent="0.2">
      <c r="A201" s="19" t="s">
        <v>334</v>
      </c>
      <c r="B201" s="19" t="s">
        <v>316</v>
      </c>
      <c r="C201" s="19" t="s">
        <v>18</v>
      </c>
      <c r="D201" s="19" t="s">
        <v>85</v>
      </c>
      <c r="E201" s="19" t="s">
        <v>86</v>
      </c>
      <c r="F201" s="19" t="s">
        <v>147</v>
      </c>
      <c r="G201" s="19" t="s">
        <v>118</v>
      </c>
      <c r="H201" s="19" t="s">
        <v>58</v>
      </c>
      <c r="I201" s="19">
        <v>220392</v>
      </c>
      <c r="J201" s="19">
        <v>7703</v>
      </c>
      <c r="K201" s="19">
        <v>8164</v>
      </c>
      <c r="L201" s="19">
        <v>1104</v>
      </c>
      <c r="M201" s="19">
        <v>991</v>
      </c>
      <c r="N201" s="19">
        <v>470</v>
      </c>
      <c r="O201" s="19">
        <v>428</v>
      </c>
      <c r="P201" s="19">
        <v>428</v>
      </c>
      <c r="Q201" s="20">
        <v>37664</v>
      </c>
      <c r="R201" s="20">
        <v>6580</v>
      </c>
      <c r="S201" s="19">
        <v>88</v>
      </c>
      <c r="T201" s="21">
        <v>3.5000000000000003E-2</v>
      </c>
      <c r="U201" s="21">
        <v>5.2400000000000002E-2</v>
      </c>
      <c r="V201" s="20">
        <v>15.37</v>
      </c>
      <c r="W201" s="20">
        <v>0.85</v>
      </c>
      <c r="X201" s="22">
        <v>5.72</v>
      </c>
      <c r="Y201" s="21">
        <v>0.37569999999999998</v>
      </c>
      <c r="Z201" s="19"/>
      <c r="AA201" s="19">
        <v>85</v>
      </c>
      <c r="AB201" s="23">
        <v>4.2</v>
      </c>
    </row>
    <row r="202" spans="1:28" ht="18" customHeight="1" x14ac:dyDescent="0.2">
      <c r="A202" s="19" t="s">
        <v>335</v>
      </c>
      <c r="B202" s="19" t="s">
        <v>316</v>
      </c>
      <c r="C202" s="19" t="s">
        <v>22</v>
      </c>
      <c r="D202" s="19" t="s">
        <v>90</v>
      </c>
      <c r="E202" s="19" t="s">
        <v>95</v>
      </c>
      <c r="F202" s="19" t="s">
        <v>136</v>
      </c>
      <c r="G202" s="19" t="s">
        <v>93</v>
      </c>
      <c r="H202" s="19" t="s">
        <v>58</v>
      </c>
      <c r="I202" s="19">
        <v>176305</v>
      </c>
      <c r="J202" s="19">
        <v>13214</v>
      </c>
      <c r="K202" s="19">
        <v>10774</v>
      </c>
      <c r="L202" s="19">
        <v>880</v>
      </c>
      <c r="M202" s="19">
        <v>1776</v>
      </c>
      <c r="N202" s="19">
        <v>1014</v>
      </c>
      <c r="O202" s="19">
        <v>429</v>
      </c>
      <c r="P202" s="19">
        <v>429</v>
      </c>
      <c r="Q202" s="20">
        <v>41613</v>
      </c>
      <c r="R202" s="20">
        <v>0</v>
      </c>
      <c r="S202" s="19">
        <v>97</v>
      </c>
      <c r="T202" s="21">
        <v>7.4899999999999994E-2</v>
      </c>
      <c r="U202" s="21">
        <v>3.9800000000000002E-2</v>
      </c>
      <c r="V202" s="20">
        <v>0</v>
      </c>
      <c r="W202" s="20">
        <v>0</v>
      </c>
      <c r="X202" s="22">
        <v>0</v>
      </c>
      <c r="Y202" s="21">
        <v>0.45490000000000003</v>
      </c>
      <c r="Z202" s="19"/>
      <c r="AA202" s="19">
        <v>83</v>
      </c>
      <c r="AB202" s="23">
        <v>4.8</v>
      </c>
    </row>
    <row r="203" spans="1:28" ht="18" customHeight="1" x14ac:dyDescent="0.2">
      <c r="A203" s="19" t="s">
        <v>336</v>
      </c>
      <c r="B203" s="19" t="s">
        <v>316</v>
      </c>
      <c r="C203" s="19" t="s">
        <v>19</v>
      </c>
      <c r="D203" s="19" t="s">
        <v>90</v>
      </c>
      <c r="E203" s="19" t="s">
        <v>107</v>
      </c>
      <c r="F203" s="19" t="s">
        <v>117</v>
      </c>
      <c r="G203" s="19" t="s">
        <v>88</v>
      </c>
      <c r="H203" s="19" t="s">
        <v>58</v>
      </c>
      <c r="I203" s="19">
        <v>215856</v>
      </c>
      <c r="J203" s="19">
        <v>17348</v>
      </c>
      <c r="K203" s="19">
        <v>14171</v>
      </c>
      <c r="L203" s="19">
        <v>2812</v>
      </c>
      <c r="M203" s="19">
        <v>1914</v>
      </c>
      <c r="N203" s="19">
        <v>1084</v>
      </c>
      <c r="O203" s="19">
        <v>441</v>
      </c>
      <c r="P203" s="19">
        <v>441</v>
      </c>
      <c r="Q203" s="20">
        <v>44541</v>
      </c>
      <c r="R203" s="20">
        <v>25527</v>
      </c>
      <c r="S203" s="19">
        <v>101</v>
      </c>
      <c r="T203" s="21">
        <v>8.0399999999999999E-2</v>
      </c>
      <c r="U203" s="21">
        <v>3.1099999999999999E-2</v>
      </c>
      <c r="V203" s="20">
        <v>57.88</v>
      </c>
      <c r="W203" s="20">
        <v>1.47</v>
      </c>
      <c r="X203" s="22">
        <v>1.74</v>
      </c>
      <c r="Y203" s="21">
        <v>0.4859</v>
      </c>
      <c r="Z203" s="19"/>
      <c r="AA203" s="19">
        <v>97</v>
      </c>
      <c r="AB203" s="23">
        <v>4.5</v>
      </c>
    </row>
    <row r="204" spans="1:28" ht="18" customHeight="1" x14ac:dyDescent="0.2">
      <c r="A204" s="19" t="s">
        <v>337</v>
      </c>
      <c r="B204" s="19" t="s">
        <v>316</v>
      </c>
      <c r="C204" s="19" t="s">
        <v>17</v>
      </c>
      <c r="D204" s="19" t="s">
        <v>102</v>
      </c>
      <c r="E204" s="19" t="s">
        <v>91</v>
      </c>
      <c r="F204" s="19" t="s">
        <v>103</v>
      </c>
      <c r="G204" s="19" t="s">
        <v>118</v>
      </c>
      <c r="H204" s="19" t="s">
        <v>57</v>
      </c>
      <c r="I204" s="19">
        <v>47084</v>
      </c>
      <c r="J204" s="19">
        <v>3611</v>
      </c>
      <c r="K204" s="19">
        <v>3681</v>
      </c>
      <c r="L204" s="19">
        <v>548</v>
      </c>
      <c r="M204" s="19">
        <v>455</v>
      </c>
      <c r="N204" s="19">
        <v>197</v>
      </c>
      <c r="O204" s="19">
        <v>248</v>
      </c>
      <c r="P204" s="19">
        <v>197</v>
      </c>
      <c r="Q204" s="20">
        <v>27528</v>
      </c>
      <c r="R204" s="20">
        <v>0</v>
      </c>
      <c r="S204" s="19">
        <v>111</v>
      </c>
      <c r="T204" s="21">
        <v>7.6700000000000004E-2</v>
      </c>
      <c r="U204" s="21">
        <v>6.7400000000000002E-2</v>
      </c>
      <c r="V204" s="20">
        <v>0</v>
      </c>
      <c r="W204" s="20">
        <v>0</v>
      </c>
      <c r="X204" s="22">
        <v>0</v>
      </c>
      <c r="Y204" s="21">
        <v>0.56740000000000002</v>
      </c>
      <c r="Z204" s="19">
        <v>8</v>
      </c>
      <c r="AA204" s="19">
        <v>93</v>
      </c>
      <c r="AB204" s="23">
        <v>4.9000000000000004</v>
      </c>
    </row>
    <row r="205" spans="1:28" ht="18" customHeight="1" x14ac:dyDescent="0.2">
      <c r="A205" s="19" t="s">
        <v>338</v>
      </c>
      <c r="B205" s="19" t="s">
        <v>316</v>
      </c>
      <c r="C205" s="19" t="s">
        <v>21</v>
      </c>
      <c r="D205" s="19" t="s">
        <v>90</v>
      </c>
      <c r="E205" s="19" t="s">
        <v>91</v>
      </c>
      <c r="F205" s="19" t="s">
        <v>96</v>
      </c>
      <c r="G205" s="19" t="s">
        <v>121</v>
      </c>
      <c r="H205" s="19" t="s">
        <v>57</v>
      </c>
      <c r="I205" s="19">
        <v>142352</v>
      </c>
      <c r="J205" s="19">
        <v>7376</v>
      </c>
      <c r="K205" s="19">
        <v>7685</v>
      </c>
      <c r="L205" s="19">
        <v>1400</v>
      </c>
      <c r="M205" s="19">
        <v>957</v>
      </c>
      <c r="N205" s="19">
        <v>470</v>
      </c>
      <c r="O205" s="19">
        <v>511</v>
      </c>
      <c r="P205" s="19">
        <v>470</v>
      </c>
      <c r="Q205" s="20">
        <v>24017</v>
      </c>
      <c r="R205" s="20">
        <v>0</v>
      </c>
      <c r="S205" s="19">
        <v>47</v>
      </c>
      <c r="T205" s="21">
        <v>5.1799999999999999E-2</v>
      </c>
      <c r="U205" s="21">
        <v>6.6500000000000004E-2</v>
      </c>
      <c r="V205" s="20">
        <v>0</v>
      </c>
      <c r="W205" s="20">
        <v>0</v>
      </c>
      <c r="X205" s="22">
        <v>0</v>
      </c>
      <c r="Y205" s="21">
        <v>0.66120000000000001</v>
      </c>
      <c r="Z205" s="19"/>
      <c r="AA205" s="19">
        <v>70</v>
      </c>
      <c r="AB205" s="23">
        <v>4.9000000000000004</v>
      </c>
    </row>
    <row r="206" spans="1:28" ht="18" customHeight="1" x14ac:dyDescent="0.2">
      <c r="A206" s="19" t="s">
        <v>339</v>
      </c>
      <c r="B206" s="19" t="s">
        <v>316</v>
      </c>
      <c r="C206" s="19" t="s">
        <v>18</v>
      </c>
      <c r="D206" s="19" t="s">
        <v>85</v>
      </c>
      <c r="E206" s="19" t="s">
        <v>91</v>
      </c>
      <c r="F206" s="19" t="s">
        <v>147</v>
      </c>
      <c r="G206" s="19" t="s">
        <v>97</v>
      </c>
      <c r="H206" s="19" t="s">
        <v>57</v>
      </c>
      <c r="I206" s="19">
        <v>124273</v>
      </c>
      <c r="J206" s="19">
        <v>6664</v>
      </c>
      <c r="K206" s="19">
        <v>4875</v>
      </c>
      <c r="L206" s="19">
        <v>638</v>
      </c>
      <c r="M206" s="19">
        <v>1228</v>
      </c>
      <c r="N206" s="19">
        <v>802</v>
      </c>
      <c r="O206" s="19">
        <v>303</v>
      </c>
      <c r="P206" s="19">
        <v>303</v>
      </c>
      <c r="Q206" s="20">
        <v>26058</v>
      </c>
      <c r="R206" s="20">
        <v>10856</v>
      </c>
      <c r="S206" s="19">
        <v>86</v>
      </c>
      <c r="T206" s="21">
        <v>5.3600000000000002E-2</v>
      </c>
      <c r="U206" s="21">
        <v>6.2199999999999998E-2</v>
      </c>
      <c r="V206" s="20">
        <v>35.83</v>
      </c>
      <c r="W206" s="20">
        <v>1.63</v>
      </c>
      <c r="X206" s="22">
        <v>2.4</v>
      </c>
      <c r="Y206" s="21">
        <v>0.3</v>
      </c>
      <c r="Z206" s="19"/>
      <c r="AA206" s="19">
        <v>66</v>
      </c>
      <c r="AB206" s="23">
        <v>4</v>
      </c>
    </row>
    <row r="207" spans="1:28" ht="18" customHeight="1" x14ac:dyDescent="0.2">
      <c r="A207" s="19" t="s">
        <v>340</v>
      </c>
      <c r="B207" s="19" t="s">
        <v>316</v>
      </c>
      <c r="C207" s="19" t="s">
        <v>22</v>
      </c>
      <c r="D207" s="19" t="s">
        <v>85</v>
      </c>
      <c r="E207" s="19" t="s">
        <v>107</v>
      </c>
      <c r="F207" s="19" t="s">
        <v>120</v>
      </c>
      <c r="G207" s="19" t="s">
        <v>100</v>
      </c>
      <c r="H207" s="19" t="s">
        <v>58</v>
      </c>
      <c r="I207" s="19">
        <v>103735</v>
      </c>
      <c r="J207" s="19">
        <v>1283</v>
      </c>
      <c r="K207" s="19">
        <v>1365</v>
      </c>
      <c r="L207" s="19">
        <v>193</v>
      </c>
      <c r="M207" s="19">
        <v>389</v>
      </c>
      <c r="N207" s="19">
        <v>171</v>
      </c>
      <c r="O207" s="19">
        <v>90</v>
      </c>
      <c r="P207" s="19">
        <v>90</v>
      </c>
      <c r="Q207" s="20">
        <v>15840</v>
      </c>
      <c r="R207" s="20">
        <v>0</v>
      </c>
      <c r="S207" s="19">
        <v>176</v>
      </c>
      <c r="T207" s="21">
        <v>1.24E-2</v>
      </c>
      <c r="U207" s="21">
        <v>6.59E-2</v>
      </c>
      <c r="V207" s="20">
        <v>0</v>
      </c>
      <c r="W207" s="20">
        <v>0</v>
      </c>
      <c r="X207" s="22">
        <v>0</v>
      </c>
      <c r="Y207" s="21">
        <v>0.4733</v>
      </c>
      <c r="Z207" s="19"/>
      <c r="AA207" s="19">
        <v>90</v>
      </c>
      <c r="AB207" s="23">
        <v>3.9</v>
      </c>
    </row>
    <row r="208" spans="1:28" ht="18" customHeight="1" x14ac:dyDescent="0.2">
      <c r="A208" s="19" t="s">
        <v>341</v>
      </c>
      <c r="B208" s="19" t="s">
        <v>316</v>
      </c>
      <c r="C208" s="19" t="s">
        <v>18</v>
      </c>
      <c r="D208" s="19" t="s">
        <v>102</v>
      </c>
      <c r="E208" s="19" t="s">
        <v>86</v>
      </c>
      <c r="F208" s="19" t="s">
        <v>176</v>
      </c>
      <c r="G208" s="19" t="s">
        <v>118</v>
      </c>
      <c r="H208" s="19" t="s">
        <v>58</v>
      </c>
      <c r="I208" s="19">
        <v>55259</v>
      </c>
      <c r="J208" s="19">
        <v>1745</v>
      </c>
      <c r="K208" s="19">
        <v>1713</v>
      </c>
      <c r="L208" s="19">
        <v>276</v>
      </c>
      <c r="M208" s="19">
        <v>249</v>
      </c>
      <c r="N208" s="19">
        <v>160</v>
      </c>
      <c r="O208" s="19">
        <v>125</v>
      </c>
      <c r="P208" s="19">
        <v>125</v>
      </c>
      <c r="Q208" s="20">
        <v>7375</v>
      </c>
      <c r="R208" s="20">
        <v>9619</v>
      </c>
      <c r="S208" s="19">
        <v>59</v>
      </c>
      <c r="T208" s="21">
        <v>3.1600000000000003E-2</v>
      </c>
      <c r="U208" s="21">
        <v>7.2999999999999995E-2</v>
      </c>
      <c r="V208" s="20">
        <v>76.95</v>
      </c>
      <c r="W208" s="20">
        <v>5.51</v>
      </c>
      <c r="X208" s="22">
        <v>0.77</v>
      </c>
      <c r="Y208" s="21">
        <v>0.46450000000000002</v>
      </c>
      <c r="Z208" s="19"/>
      <c r="AA208" s="19">
        <v>82</v>
      </c>
      <c r="AB208" s="23">
        <v>4.8</v>
      </c>
    </row>
    <row r="209" spans="1:28" ht="18" customHeight="1" x14ac:dyDescent="0.2">
      <c r="A209" s="19" t="s">
        <v>342</v>
      </c>
      <c r="B209" s="19" t="s">
        <v>316</v>
      </c>
      <c r="C209" s="19" t="s">
        <v>20</v>
      </c>
      <c r="D209" s="19" t="s">
        <v>85</v>
      </c>
      <c r="E209" s="19" t="s">
        <v>95</v>
      </c>
      <c r="F209" s="19" t="s">
        <v>149</v>
      </c>
      <c r="G209" s="19" t="s">
        <v>88</v>
      </c>
      <c r="H209" s="19" t="s">
        <v>57</v>
      </c>
      <c r="I209" s="19">
        <v>125165</v>
      </c>
      <c r="J209" s="19">
        <v>4359</v>
      </c>
      <c r="K209" s="19">
        <v>3355</v>
      </c>
      <c r="L209" s="19">
        <v>706</v>
      </c>
      <c r="M209" s="19">
        <v>468</v>
      </c>
      <c r="N209" s="19">
        <v>323</v>
      </c>
      <c r="O209" s="19">
        <v>252</v>
      </c>
      <c r="P209" s="19">
        <v>252</v>
      </c>
      <c r="Q209" s="20">
        <v>23436</v>
      </c>
      <c r="R209" s="20">
        <v>4090</v>
      </c>
      <c r="S209" s="19">
        <v>93</v>
      </c>
      <c r="T209" s="21">
        <v>3.4799999999999998E-2</v>
      </c>
      <c r="U209" s="21">
        <v>7.51E-2</v>
      </c>
      <c r="V209" s="20">
        <v>16.23</v>
      </c>
      <c r="W209" s="20">
        <v>0.94</v>
      </c>
      <c r="X209" s="22">
        <v>5.73</v>
      </c>
      <c r="Y209" s="21">
        <v>0.20880000000000001</v>
      </c>
      <c r="Z209" s="19"/>
      <c r="AA209" s="19">
        <v>73</v>
      </c>
      <c r="AB209" s="23">
        <v>4.5</v>
      </c>
    </row>
    <row r="210" spans="1:28" ht="18" customHeight="1" x14ac:dyDescent="0.2">
      <c r="A210" s="19" t="s">
        <v>343</v>
      </c>
      <c r="B210" s="19" t="s">
        <v>316</v>
      </c>
      <c r="C210" s="19" t="s">
        <v>21</v>
      </c>
      <c r="D210" s="19" t="s">
        <v>90</v>
      </c>
      <c r="E210" s="19" t="s">
        <v>91</v>
      </c>
      <c r="F210" s="19" t="s">
        <v>123</v>
      </c>
      <c r="G210" s="19" t="s">
        <v>93</v>
      </c>
      <c r="H210" s="19" t="s">
        <v>58</v>
      </c>
      <c r="I210" s="19">
        <v>140456</v>
      </c>
      <c r="J210" s="19">
        <v>9948</v>
      </c>
      <c r="K210" s="19">
        <v>10422</v>
      </c>
      <c r="L210" s="19">
        <v>875</v>
      </c>
      <c r="M210" s="19">
        <v>3170</v>
      </c>
      <c r="N210" s="19">
        <v>1921</v>
      </c>
      <c r="O210" s="19">
        <v>826</v>
      </c>
      <c r="P210" s="19">
        <v>826</v>
      </c>
      <c r="Q210" s="20">
        <v>56994</v>
      </c>
      <c r="R210" s="20">
        <v>0</v>
      </c>
      <c r="S210" s="19">
        <v>69</v>
      </c>
      <c r="T210" s="21">
        <v>7.0800000000000002E-2</v>
      </c>
      <c r="U210" s="21">
        <v>7.9299999999999995E-2</v>
      </c>
      <c r="V210" s="20">
        <v>0</v>
      </c>
      <c r="W210" s="20">
        <v>0</v>
      </c>
      <c r="X210" s="22">
        <v>0</v>
      </c>
      <c r="Y210" s="21">
        <v>0.65549999999999997</v>
      </c>
      <c r="Z210" s="19"/>
      <c r="AA210" s="19">
        <v>70</v>
      </c>
      <c r="AB210" s="23">
        <v>4.5</v>
      </c>
    </row>
    <row r="211" spans="1:28" ht="18" customHeight="1" x14ac:dyDescent="0.2">
      <c r="A211" s="19" t="s">
        <v>344</v>
      </c>
      <c r="B211" s="19" t="s">
        <v>316</v>
      </c>
      <c r="C211" s="19" t="s">
        <v>19</v>
      </c>
      <c r="D211" s="19" t="s">
        <v>90</v>
      </c>
      <c r="E211" s="19" t="s">
        <v>114</v>
      </c>
      <c r="F211" s="19" t="s">
        <v>105</v>
      </c>
      <c r="G211" s="19" t="s">
        <v>100</v>
      </c>
      <c r="H211" s="19" t="s">
        <v>57</v>
      </c>
      <c r="I211" s="19">
        <v>214751</v>
      </c>
      <c r="J211" s="19">
        <v>11966</v>
      </c>
      <c r="K211" s="19">
        <v>12445</v>
      </c>
      <c r="L211" s="19">
        <v>2168</v>
      </c>
      <c r="M211" s="19">
        <v>3517</v>
      </c>
      <c r="N211" s="19">
        <v>1263</v>
      </c>
      <c r="O211" s="19">
        <v>385</v>
      </c>
      <c r="P211" s="19">
        <v>385</v>
      </c>
      <c r="Q211" s="20">
        <v>57750</v>
      </c>
      <c r="R211" s="20">
        <v>19272</v>
      </c>
      <c r="S211" s="19">
        <v>150</v>
      </c>
      <c r="T211" s="21">
        <v>5.57E-2</v>
      </c>
      <c r="U211" s="21">
        <v>3.09E-2</v>
      </c>
      <c r="V211" s="20">
        <v>50.06</v>
      </c>
      <c r="W211" s="20">
        <v>1.61</v>
      </c>
      <c r="X211" s="22">
        <v>3</v>
      </c>
      <c r="Y211" s="21">
        <v>0.42030000000000001</v>
      </c>
      <c r="Z211" s="19"/>
      <c r="AA211" s="19">
        <v>80</v>
      </c>
      <c r="AB211" s="23">
        <v>3.8</v>
      </c>
    </row>
    <row r="212" spans="1:28" ht="18" customHeight="1" x14ac:dyDescent="0.2">
      <c r="A212" s="19" t="s">
        <v>345</v>
      </c>
      <c r="B212" s="19" t="s">
        <v>316</v>
      </c>
      <c r="C212" s="19" t="s">
        <v>18</v>
      </c>
      <c r="D212" s="19" t="s">
        <v>85</v>
      </c>
      <c r="E212" s="19" t="s">
        <v>95</v>
      </c>
      <c r="F212" s="19" t="s">
        <v>87</v>
      </c>
      <c r="G212" s="19" t="s">
        <v>100</v>
      </c>
      <c r="H212" s="19" t="s">
        <v>57</v>
      </c>
      <c r="I212" s="19">
        <v>127548</v>
      </c>
      <c r="J212" s="19">
        <v>4293</v>
      </c>
      <c r="K212" s="19">
        <v>3474</v>
      </c>
      <c r="L212" s="19">
        <v>558</v>
      </c>
      <c r="M212" s="19">
        <v>577</v>
      </c>
      <c r="N212" s="19">
        <v>373</v>
      </c>
      <c r="O212" s="19">
        <v>180</v>
      </c>
      <c r="P212" s="19">
        <v>180</v>
      </c>
      <c r="Q212" s="20">
        <v>8640</v>
      </c>
      <c r="R212" s="20">
        <v>14798</v>
      </c>
      <c r="S212" s="19">
        <v>48</v>
      </c>
      <c r="T212" s="21">
        <v>3.3700000000000001E-2</v>
      </c>
      <c r="U212" s="21">
        <v>5.1799999999999999E-2</v>
      </c>
      <c r="V212" s="20">
        <v>82.21</v>
      </c>
      <c r="W212" s="20">
        <v>3.45</v>
      </c>
      <c r="X212" s="22">
        <v>0.57999999999999996</v>
      </c>
      <c r="Y212" s="21">
        <v>0.3619</v>
      </c>
      <c r="Z212" s="19"/>
      <c r="AA212" s="19">
        <v>63</v>
      </c>
      <c r="AB212" s="23">
        <v>4.5999999999999996</v>
      </c>
    </row>
    <row r="213" spans="1:28" ht="18" customHeight="1" x14ac:dyDescent="0.2">
      <c r="A213" s="19" t="s">
        <v>346</v>
      </c>
      <c r="B213" s="19" t="s">
        <v>316</v>
      </c>
      <c r="C213" s="19" t="s">
        <v>20</v>
      </c>
      <c r="D213" s="19" t="s">
        <v>85</v>
      </c>
      <c r="E213" s="19" t="s">
        <v>114</v>
      </c>
      <c r="F213" s="19" t="s">
        <v>163</v>
      </c>
      <c r="G213" s="19" t="s">
        <v>93</v>
      </c>
      <c r="H213" s="19" t="s">
        <v>57</v>
      </c>
      <c r="I213" s="19">
        <v>122754</v>
      </c>
      <c r="J213" s="19">
        <v>2302</v>
      </c>
      <c r="K213" s="19">
        <v>2344</v>
      </c>
      <c r="L213" s="19">
        <v>309</v>
      </c>
      <c r="M213" s="19">
        <v>474</v>
      </c>
      <c r="N213" s="19">
        <v>259</v>
      </c>
      <c r="O213" s="19">
        <v>160</v>
      </c>
      <c r="P213" s="19">
        <v>160</v>
      </c>
      <c r="Q213" s="20">
        <v>21760</v>
      </c>
      <c r="R213" s="20">
        <v>37819</v>
      </c>
      <c r="S213" s="19">
        <v>136</v>
      </c>
      <c r="T213" s="21">
        <v>1.8800000000000001E-2</v>
      </c>
      <c r="U213" s="21">
        <v>6.83E-2</v>
      </c>
      <c r="V213" s="20">
        <v>236.37</v>
      </c>
      <c r="W213" s="20">
        <v>16.43</v>
      </c>
      <c r="X213" s="22">
        <v>0.57999999999999996</v>
      </c>
      <c r="Y213" s="21">
        <v>0.5222</v>
      </c>
      <c r="Z213" s="19"/>
      <c r="AA213" s="19">
        <v>83</v>
      </c>
      <c r="AB213" s="23">
        <v>3.9</v>
      </c>
    </row>
    <row r="214" spans="1:28" ht="18" customHeight="1" x14ac:dyDescent="0.2">
      <c r="A214" s="19" t="s">
        <v>347</v>
      </c>
      <c r="B214" s="19" t="s">
        <v>348</v>
      </c>
      <c r="C214" s="19" t="s">
        <v>17</v>
      </c>
      <c r="D214" s="19" t="s">
        <v>85</v>
      </c>
      <c r="E214" s="19" t="s">
        <v>95</v>
      </c>
      <c r="F214" s="19" t="s">
        <v>92</v>
      </c>
      <c r="G214" s="19" t="s">
        <v>88</v>
      </c>
      <c r="H214" s="19" t="s">
        <v>58</v>
      </c>
      <c r="I214" s="19">
        <v>140527</v>
      </c>
      <c r="J214" s="19">
        <v>8397</v>
      </c>
      <c r="K214" s="19">
        <v>6433</v>
      </c>
      <c r="L214" s="19">
        <v>978</v>
      </c>
      <c r="M214" s="19">
        <v>1935</v>
      </c>
      <c r="N214" s="19">
        <v>1298</v>
      </c>
      <c r="O214" s="19">
        <v>313</v>
      </c>
      <c r="P214" s="19">
        <v>313</v>
      </c>
      <c r="Q214" s="20">
        <v>43820</v>
      </c>
      <c r="R214" s="20">
        <v>0</v>
      </c>
      <c r="S214" s="19">
        <v>140</v>
      </c>
      <c r="T214" s="21">
        <v>5.9799999999999999E-2</v>
      </c>
      <c r="U214" s="21">
        <v>4.87E-2</v>
      </c>
      <c r="V214" s="20">
        <v>0</v>
      </c>
      <c r="W214" s="20">
        <v>0</v>
      </c>
      <c r="X214" s="22">
        <v>0</v>
      </c>
      <c r="Y214" s="21">
        <v>0.36919999999999997</v>
      </c>
      <c r="Z214" s="19">
        <v>37</v>
      </c>
      <c r="AA214" s="19">
        <v>83</v>
      </c>
      <c r="AB214" s="23">
        <v>3.8</v>
      </c>
    </row>
    <row r="215" spans="1:28" ht="18" customHeight="1" x14ac:dyDescent="0.2">
      <c r="A215" s="19" t="s">
        <v>349</v>
      </c>
      <c r="B215" s="19" t="s">
        <v>348</v>
      </c>
      <c r="C215" s="19" t="s">
        <v>18</v>
      </c>
      <c r="D215" s="19" t="s">
        <v>85</v>
      </c>
      <c r="E215" s="19" t="s">
        <v>107</v>
      </c>
      <c r="F215" s="19" t="s">
        <v>87</v>
      </c>
      <c r="G215" s="19" t="s">
        <v>121</v>
      </c>
      <c r="H215" s="19" t="s">
        <v>57</v>
      </c>
      <c r="I215" s="19">
        <v>228290</v>
      </c>
      <c r="J215" s="19">
        <v>13759</v>
      </c>
      <c r="K215" s="19">
        <v>11306</v>
      </c>
      <c r="L215" s="19">
        <v>1977</v>
      </c>
      <c r="M215" s="19">
        <v>2827</v>
      </c>
      <c r="N215" s="19">
        <v>1374</v>
      </c>
      <c r="O215" s="19">
        <v>490</v>
      </c>
      <c r="P215" s="19">
        <v>490</v>
      </c>
      <c r="Q215" s="20">
        <v>75950</v>
      </c>
      <c r="R215" s="20">
        <v>10774</v>
      </c>
      <c r="S215" s="19">
        <v>155</v>
      </c>
      <c r="T215" s="21">
        <v>6.0299999999999999E-2</v>
      </c>
      <c r="U215" s="21">
        <v>4.3299999999999998E-2</v>
      </c>
      <c r="V215" s="20">
        <v>21.99</v>
      </c>
      <c r="W215" s="20">
        <v>0.78</v>
      </c>
      <c r="X215" s="22">
        <v>7.05</v>
      </c>
      <c r="Y215" s="21">
        <v>0.19059999999999999</v>
      </c>
      <c r="Z215" s="19"/>
      <c r="AA215" s="19">
        <v>90</v>
      </c>
      <c r="AB215" s="23">
        <v>4.5</v>
      </c>
    </row>
    <row r="216" spans="1:28" ht="18" customHeight="1" x14ac:dyDescent="0.2">
      <c r="A216" s="19" t="s">
        <v>350</v>
      </c>
      <c r="B216" s="19" t="s">
        <v>348</v>
      </c>
      <c r="C216" s="19" t="s">
        <v>19</v>
      </c>
      <c r="D216" s="19" t="s">
        <v>85</v>
      </c>
      <c r="E216" s="19" t="s">
        <v>95</v>
      </c>
      <c r="F216" s="19" t="s">
        <v>231</v>
      </c>
      <c r="G216" s="19" t="s">
        <v>100</v>
      </c>
      <c r="H216" s="19" t="s">
        <v>58</v>
      </c>
      <c r="I216" s="19">
        <v>222912</v>
      </c>
      <c r="J216" s="19">
        <v>13360</v>
      </c>
      <c r="K216" s="19">
        <v>13758</v>
      </c>
      <c r="L216" s="19">
        <v>1219</v>
      </c>
      <c r="M216" s="19">
        <v>4455</v>
      </c>
      <c r="N216" s="19">
        <v>2627</v>
      </c>
      <c r="O216" s="19">
        <v>746</v>
      </c>
      <c r="P216" s="19">
        <v>746</v>
      </c>
      <c r="Q216" s="20">
        <v>38046</v>
      </c>
      <c r="R216" s="20">
        <v>4085</v>
      </c>
      <c r="S216" s="19">
        <v>51</v>
      </c>
      <c r="T216" s="21">
        <v>5.9900000000000002E-2</v>
      </c>
      <c r="U216" s="21">
        <v>5.4199999999999998E-2</v>
      </c>
      <c r="V216" s="20">
        <v>5.48</v>
      </c>
      <c r="W216" s="20">
        <v>0.31</v>
      </c>
      <c r="X216" s="22">
        <v>9.31</v>
      </c>
      <c r="Y216" s="21">
        <v>0.27229999999999999</v>
      </c>
      <c r="Z216" s="19"/>
      <c r="AA216" s="19">
        <v>79</v>
      </c>
      <c r="AB216" s="23">
        <v>4.8</v>
      </c>
    </row>
    <row r="217" spans="1:28" ht="18" customHeight="1" x14ac:dyDescent="0.2">
      <c r="A217" s="19" t="s">
        <v>351</v>
      </c>
      <c r="B217" s="19" t="s">
        <v>348</v>
      </c>
      <c r="C217" s="19" t="s">
        <v>18</v>
      </c>
      <c r="D217" s="19" t="s">
        <v>90</v>
      </c>
      <c r="E217" s="19" t="s">
        <v>107</v>
      </c>
      <c r="F217" s="19" t="s">
        <v>176</v>
      </c>
      <c r="G217" s="19" t="s">
        <v>100</v>
      </c>
      <c r="H217" s="19" t="s">
        <v>57</v>
      </c>
      <c r="I217" s="19">
        <v>250652</v>
      </c>
      <c r="J217" s="19">
        <v>10197</v>
      </c>
      <c r="K217" s="19">
        <v>9004</v>
      </c>
      <c r="L217" s="19">
        <v>1890</v>
      </c>
      <c r="M217" s="19">
        <v>1498</v>
      </c>
      <c r="N217" s="19">
        <v>835</v>
      </c>
      <c r="O217" s="19">
        <v>446</v>
      </c>
      <c r="P217" s="19">
        <v>446</v>
      </c>
      <c r="Q217" s="20">
        <v>78050</v>
      </c>
      <c r="R217" s="20">
        <v>14551</v>
      </c>
      <c r="S217" s="19">
        <v>175</v>
      </c>
      <c r="T217" s="21">
        <v>4.07E-2</v>
      </c>
      <c r="U217" s="21">
        <v>4.9500000000000002E-2</v>
      </c>
      <c r="V217" s="20">
        <v>32.630000000000003</v>
      </c>
      <c r="W217" s="20">
        <v>1.43</v>
      </c>
      <c r="X217" s="22">
        <v>5.36</v>
      </c>
      <c r="Y217" s="21">
        <v>0.40989999999999999</v>
      </c>
      <c r="Z217" s="19"/>
      <c r="AA217" s="19">
        <v>94</v>
      </c>
      <c r="AB217" s="23">
        <v>4.2</v>
      </c>
    </row>
    <row r="218" spans="1:28" ht="18" customHeight="1" x14ac:dyDescent="0.2">
      <c r="A218" s="19" t="s">
        <v>352</v>
      </c>
      <c r="B218" s="19" t="s">
        <v>348</v>
      </c>
      <c r="C218" s="19" t="s">
        <v>22</v>
      </c>
      <c r="D218" s="19" t="s">
        <v>90</v>
      </c>
      <c r="E218" s="19" t="s">
        <v>86</v>
      </c>
      <c r="F218" s="19" t="s">
        <v>120</v>
      </c>
      <c r="G218" s="19" t="s">
        <v>121</v>
      </c>
      <c r="H218" s="19" t="s">
        <v>58</v>
      </c>
      <c r="I218" s="19">
        <v>229562</v>
      </c>
      <c r="J218" s="19">
        <v>10503</v>
      </c>
      <c r="K218" s="19">
        <v>9129</v>
      </c>
      <c r="L218" s="19">
        <v>1314</v>
      </c>
      <c r="M218" s="19">
        <v>1170</v>
      </c>
      <c r="N218" s="19">
        <v>440</v>
      </c>
      <c r="O218" s="19">
        <v>742</v>
      </c>
      <c r="P218" s="19">
        <v>440</v>
      </c>
      <c r="Q218" s="20">
        <v>34132</v>
      </c>
      <c r="R218" s="20">
        <v>0</v>
      </c>
      <c r="S218" s="19">
        <v>46</v>
      </c>
      <c r="T218" s="21">
        <v>4.58E-2</v>
      </c>
      <c r="U218" s="21">
        <v>8.1299999999999997E-2</v>
      </c>
      <c r="V218" s="20">
        <v>0</v>
      </c>
      <c r="W218" s="20">
        <v>0</v>
      </c>
      <c r="X218" s="22">
        <v>0</v>
      </c>
      <c r="Y218" s="21">
        <v>0.4395</v>
      </c>
      <c r="Z218" s="19"/>
      <c r="AA218" s="19">
        <v>88</v>
      </c>
      <c r="AB218" s="23">
        <v>4.4000000000000004</v>
      </c>
    </row>
    <row r="219" spans="1:28" ht="18" customHeight="1" x14ac:dyDescent="0.2">
      <c r="A219" s="19" t="s">
        <v>353</v>
      </c>
      <c r="B219" s="19" t="s">
        <v>348</v>
      </c>
      <c r="C219" s="19" t="s">
        <v>17</v>
      </c>
      <c r="D219" s="19" t="s">
        <v>90</v>
      </c>
      <c r="E219" s="19" t="s">
        <v>86</v>
      </c>
      <c r="F219" s="19" t="s">
        <v>144</v>
      </c>
      <c r="G219" s="19" t="s">
        <v>93</v>
      </c>
      <c r="H219" s="19" t="s">
        <v>57</v>
      </c>
      <c r="I219" s="19">
        <v>123991</v>
      </c>
      <c r="J219" s="19">
        <v>7864</v>
      </c>
      <c r="K219" s="19">
        <v>7857</v>
      </c>
      <c r="L219" s="19">
        <v>1651</v>
      </c>
      <c r="M219" s="19">
        <v>1077</v>
      </c>
      <c r="N219" s="19">
        <v>426</v>
      </c>
      <c r="O219" s="19">
        <v>446</v>
      </c>
      <c r="P219" s="19">
        <v>426</v>
      </c>
      <c r="Q219" s="20">
        <v>37910</v>
      </c>
      <c r="R219" s="20">
        <v>0</v>
      </c>
      <c r="S219" s="19">
        <v>85</v>
      </c>
      <c r="T219" s="21">
        <v>6.3399999999999998E-2</v>
      </c>
      <c r="U219" s="21">
        <v>5.6800000000000003E-2</v>
      </c>
      <c r="V219" s="20">
        <v>0</v>
      </c>
      <c r="W219" s="20">
        <v>0</v>
      </c>
      <c r="X219" s="22">
        <v>0</v>
      </c>
      <c r="Y219" s="21">
        <v>0.44529999999999997</v>
      </c>
      <c r="Z219" s="19">
        <v>31</v>
      </c>
      <c r="AA219" s="19">
        <v>64</v>
      </c>
      <c r="AB219" s="23">
        <v>4.0999999999999996</v>
      </c>
    </row>
    <row r="220" spans="1:28" ht="18" customHeight="1" x14ac:dyDescent="0.2">
      <c r="A220" s="19" t="s">
        <v>354</v>
      </c>
      <c r="B220" s="19" t="s">
        <v>348</v>
      </c>
      <c r="C220" s="19" t="s">
        <v>21</v>
      </c>
      <c r="D220" s="19" t="s">
        <v>102</v>
      </c>
      <c r="E220" s="19" t="s">
        <v>86</v>
      </c>
      <c r="F220" s="19" t="s">
        <v>96</v>
      </c>
      <c r="G220" s="19" t="s">
        <v>118</v>
      </c>
      <c r="H220" s="19" t="s">
        <v>57</v>
      </c>
      <c r="I220" s="19">
        <v>230166</v>
      </c>
      <c r="J220" s="19">
        <v>16809</v>
      </c>
      <c r="K220" s="19">
        <v>14519</v>
      </c>
      <c r="L220" s="19">
        <v>2389</v>
      </c>
      <c r="M220" s="19">
        <v>2125</v>
      </c>
      <c r="N220" s="19">
        <v>1359</v>
      </c>
      <c r="O220" s="19">
        <v>753</v>
      </c>
      <c r="P220" s="19">
        <v>753</v>
      </c>
      <c r="Q220" s="20">
        <v>106926</v>
      </c>
      <c r="R220" s="20">
        <v>0</v>
      </c>
      <c r="S220" s="19">
        <v>142</v>
      </c>
      <c r="T220" s="21">
        <v>7.2999999999999995E-2</v>
      </c>
      <c r="U220" s="21">
        <v>5.1900000000000002E-2</v>
      </c>
      <c r="V220" s="20">
        <v>0</v>
      </c>
      <c r="W220" s="20">
        <v>0</v>
      </c>
      <c r="X220" s="22">
        <v>0</v>
      </c>
      <c r="Y220" s="21">
        <v>0.27779999999999999</v>
      </c>
      <c r="Z220" s="19"/>
      <c r="AA220" s="19">
        <v>80</v>
      </c>
      <c r="AB220" s="23">
        <v>4.3</v>
      </c>
    </row>
    <row r="221" spans="1:28" ht="18" customHeight="1" x14ac:dyDescent="0.2">
      <c r="A221" s="19" t="s">
        <v>355</v>
      </c>
      <c r="B221" s="19" t="s">
        <v>348</v>
      </c>
      <c r="C221" s="19" t="s">
        <v>21</v>
      </c>
      <c r="D221" s="19" t="s">
        <v>85</v>
      </c>
      <c r="E221" s="19" t="s">
        <v>116</v>
      </c>
      <c r="F221" s="19" t="s">
        <v>99</v>
      </c>
      <c r="G221" s="19" t="s">
        <v>100</v>
      </c>
      <c r="H221" s="19" t="s">
        <v>57</v>
      </c>
      <c r="I221" s="19">
        <v>124287</v>
      </c>
      <c r="J221" s="19">
        <v>3546</v>
      </c>
      <c r="K221" s="19">
        <v>3747</v>
      </c>
      <c r="L221" s="19">
        <v>335</v>
      </c>
      <c r="M221" s="19">
        <v>634</v>
      </c>
      <c r="N221" s="19">
        <v>235</v>
      </c>
      <c r="O221" s="19">
        <v>301</v>
      </c>
      <c r="P221" s="19">
        <v>235</v>
      </c>
      <c r="Q221" s="20">
        <v>25585</v>
      </c>
      <c r="R221" s="20">
        <v>0</v>
      </c>
      <c r="S221" s="19">
        <v>85</v>
      </c>
      <c r="T221" s="21">
        <v>2.8500000000000001E-2</v>
      </c>
      <c r="U221" s="21">
        <v>8.0299999999999996E-2</v>
      </c>
      <c r="V221" s="20">
        <v>0</v>
      </c>
      <c r="W221" s="20">
        <v>0</v>
      </c>
      <c r="X221" s="22">
        <v>0</v>
      </c>
      <c r="Y221" s="21">
        <v>0.44409999999999999</v>
      </c>
      <c r="Z221" s="19"/>
      <c r="AA221" s="19">
        <v>89</v>
      </c>
      <c r="AB221" s="23">
        <v>4.7</v>
      </c>
    </row>
    <row r="222" spans="1:28" ht="18" customHeight="1" x14ac:dyDescent="0.2">
      <c r="A222" s="19" t="s">
        <v>356</v>
      </c>
      <c r="B222" s="19" t="s">
        <v>348</v>
      </c>
      <c r="C222" s="19" t="s">
        <v>18</v>
      </c>
      <c r="D222" s="19" t="s">
        <v>102</v>
      </c>
      <c r="E222" s="19" t="s">
        <v>95</v>
      </c>
      <c r="F222" s="19" t="s">
        <v>147</v>
      </c>
      <c r="G222" s="19" t="s">
        <v>88</v>
      </c>
      <c r="H222" s="19" t="s">
        <v>58</v>
      </c>
      <c r="I222" s="19">
        <v>38849</v>
      </c>
      <c r="J222" s="19">
        <v>2849</v>
      </c>
      <c r="K222" s="19">
        <v>2363</v>
      </c>
      <c r="L222" s="19">
        <v>369</v>
      </c>
      <c r="M222" s="19">
        <v>364</v>
      </c>
      <c r="N222" s="19">
        <v>238</v>
      </c>
      <c r="O222" s="19">
        <v>93</v>
      </c>
      <c r="P222" s="19">
        <v>93</v>
      </c>
      <c r="Q222" s="20">
        <v>13950</v>
      </c>
      <c r="R222" s="20">
        <v>30448</v>
      </c>
      <c r="S222" s="19">
        <v>150</v>
      </c>
      <c r="T222" s="21">
        <v>7.3300000000000004E-2</v>
      </c>
      <c r="U222" s="21">
        <v>3.9399999999999998E-2</v>
      </c>
      <c r="V222" s="20">
        <v>327.39999999999998</v>
      </c>
      <c r="W222" s="20">
        <v>10.69</v>
      </c>
      <c r="X222" s="22">
        <v>0.46</v>
      </c>
      <c r="Y222" s="21">
        <v>0.2026</v>
      </c>
      <c r="Z222" s="19"/>
      <c r="AA222" s="19">
        <v>81</v>
      </c>
      <c r="AB222" s="23">
        <v>3.9</v>
      </c>
    </row>
    <row r="223" spans="1:28" ht="18" customHeight="1" x14ac:dyDescent="0.2">
      <c r="A223" s="19" t="s">
        <v>357</v>
      </c>
      <c r="B223" s="19" t="s">
        <v>348</v>
      </c>
      <c r="C223" s="19" t="s">
        <v>18</v>
      </c>
      <c r="D223" s="19" t="s">
        <v>102</v>
      </c>
      <c r="E223" s="19" t="s">
        <v>86</v>
      </c>
      <c r="F223" s="19" t="s">
        <v>147</v>
      </c>
      <c r="G223" s="19" t="s">
        <v>100</v>
      </c>
      <c r="H223" s="19" t="s">
        <v>57</v>
      </c>
      <c r="I223" s="19">
        <v>37825</v>
      </c>
      <c r="J223" s="19">
        <v>1891</v>
      </c>
      <c r="K223" s="19">
        <v>1453</v>
      </c>
      <c r="L223" s="19">
        <v>194</v>
      </c>
      <c r="M223" s="19">
        <v>181</v>
      </c>
      <c r="N223" s="19">
        <v>123</v>
      </c>
      <c r="O223" s="19">
        <v>101</v>
      </c>
      <c r="P223" s="19">
        <v>101</v>
      </c>
      <c r="Q223" s="20">
        <v>16564</v>
      </c>
      <c r="R223" s="20">
        <v>35816</v>
      </c>
      <c r="S223" s="19">
        <v>164</v>
      </c>
      <c r="T223" s="21">
        <v>0.05</v>
      </c>
      <c r="U223" s="21">
        <v>6.9500000000000006E-2</v>
      </c>
      <c r="V223" s="20">
        <v>354.61</v>
      </c>
      <c r="W223" s="20">
        <v>18.940000000000001</v>
      </c>
      <c r="X223" s="22">
        <v>0.46</v>
      </c>
      <c r="Y223" s="21">
        <v>0.61960000000000004</v>
      </c>
      <c r="Z223" s="19"/>
      <c r="AA223" s="19">
        <v>62</v>
      </c>
      <c r="AB223" s="23">
        <v>4.5</v>
      </c>
    </row>
    <row r="224" spans="1:28" ht="18" customHeight="1" x14ac:dyDescent="0.2">
      <c r="A224" s="19" t="s">
        <v>358</v>
      </c>
      <c r="B224" s="19" t="s">
        <v>348</v>
      </c>
      <c r="C224" s="19" t="s">
        <v>18</v>
      </c>
      <c r="D224" s="19" t="s">
        <v>90</v>
      </c>
      <c r="E224" s="19" t="s">
        <v>91</v>
      </c>
      <c r="F224" s="19" t="s">
        <v>166</v>
      </c>
      <c r="G224" s="19" t="s">
        <v>88</v>
      </c>
      <c r="H224" s="19" t="s">
        <v>57</v>
      </c>
      <c r="I224" s="19">
        <v>238663</v>
      </c>
      <c r="J224" s="19">
        <v>3034</v>
      </c>
      <c r="K224" s="19">
        <v>2739</v>
      </c>
      <c r="L224" s="19">
        <v>587</v>
      </c>
      <c r="M224" s="19">
        <v>805</v>
      </c>
      <c r="N224" s="19">
        <v>519</v>
      </c>
      <c r="O224" s="19">
        <v>148</v>
      </c>
      <c r="P224" s="19">
        <v>148</v>
      </c>
      <c r="Q224" s="20">
        <v>13320</v>
      </c>
      <c r="R224" s="20">
        <v>16972</v>
      </c>
      <c r="S224" s="19">
        <v>90</v>
      </c>
      <c r="T224" s="21">
        <v>1.2699999999999999E-2</v>
      </c>
      <c r="U224" s="21">
        <v>5.3999999999999999E-2</v>
      </c>
      <c r="V224" s="20">
        <v>114.68</v>
      </c>
      <c r="W224" s="20">
        <v>5.59</v>
      </c>
      <c r="X224" s="22">
        <v>0.78</v>
      </c>
      <c r="Y224" s="21">
        <v>0.66910000000000003</v>
      </c>
      <c r="Z224" s="19"/>
      <c r="AA224" s="19">
        <v>71</v>
      </c>
      <c r="AB224" s="23">
        <v>3.9</v>
      </c>
    </row>
    <row r="225" spans="1:28" ht="18" customHeight="1" x14ac:dyDescent="0.2">
      <c r="A225" s="19" t="s">
        <v>359</v>
      </c>
      <c r="B225" s="19" t="s">
        <v>348</v>
      </c>
      <c r="C225" s="19" t="s">
        <v>21</v>
      </c>
      <c r="D225" s="19" t="s">
        <v>102</v>
      </c>
      <c r="E225" s="19" t="s">
        <v>86</v>
      </c>
      <c r="F225" s="19" t="s">
        <v>96</v>
      </c>
      <c r="G225" s="19" t="s">
        <v>121</v>
      </c>
      <c r="H225" s="19" t="s">
        <v>57</v>
      </c>
      <c r="I225" s="19">
        <v>99844</v>
      </c>
      <c r="J225" s="19">
        <v>1206</v>
      </c>
      <c r="K225" s="19">
        <v>985</v>
      </c>
      <c r="L225" s="19">
        <v>119</v>
      </c>
      <c r="M225" s="19">
        <v>157</v>
      </c>
      <c r="N225" s="19">
        <v>60</v>
      </c>
      <c r="O225" s="19">
        <v>51</v>
      </c>
      <c r="P225" s="19">
        <v>51</v>
      </c>
      <c r="Q225" s="20">
        <v>3468</v>
      </c>
      <c r="R225" s="20">
        <v>0</v>
      </c>
      <c r="S225" s="19">
        <v>68</v>
      </c>
      <c r="T225" s="21">
        <v>1.21E-2</v>
      </c>
      <c r="U225" s="21">
        <v>5.1799999999999999E-2</v>
      </c>
      <c r="V225" s="20">
        <v>0</v>
      </c>
      <c r="W225" s="20">
        <v>0</v>
      </c>
      <c r="X225" s="22">
        <v>0</v>
      </c>
      <c r="Y225" s="21">
        <v>0.45860000000000001</v>
      </c>
      <c r="Z225" s="19"/>
      <c r="AA225" s="19">
        <v>88</v>
      </c>
      <c r="AB225" s="23">
        <v>4.7</v>
      </c>
    </row>
    <row r="226" spans="1:28" ht="18" customHeight="1" x14ac:dyDescent="0.2">
      <c r="A226" s="19" t="s">
        <v>360</v>
      </c>
      <c r="B226" s="19" t="s">
        <v>348</v>
      </c>
      <c r="C226" s="19" t="s">
        <v>22</v>
      </c>
      <c r="D226" s="19" t="s">
        <v>102</v>
      </c>
      <c r="E226" s="19" t="s">
        <v>114</v>
      </c>
      <c r="F226" s="19" t="s">
        <v>138</v>
      </c>
      <c r="G226" s="19" t="s">
        <v>93</v>
      </c>
      <c r="H226" s="19" t="s">
        <v>57</v>
      </c>
      <c r="I226" s="19">
        <v>168123</v>
      </c>
      <c r="J226" s="19">
        <v>4950</v>
      </c>
      <c r="K226" s="19">
        <v>3971</v>
      </c>
      <c r="L226" s="19">
        <v>749</v>
      </c>
      <c r="M226" s="19">
        <v>518</v>
      </c>
      <c r="N226" s="19">
        <v>301</v>
      </c>
      <c r="O226" s="19">
        <v>226</v>
      </c>
      <c r="P226" s="19">
        <v>226</v>
      </c>
      <c r="Q226" s="20">
        <v>40680</v>
      </c>
      <c r="R226" s="20">
        <v>0</v>
      </c>
      <c r="S226" s="19">
        <v>180</v>
      </c>
      <c r="T226" s="21">
        <v>2.9399999999999999E-2</v>
      </c>
      <c r="U226" s="21">
        <v>5.6899999999999999E-2</v>
      </c>
      <c r="V226" s="20">
        <v>0</v>
      </c>
      <c r="W226" s="20">
        <v>0</v>
      </c>
      <c r="X226" s="22">
        <v>0</v>
      </c>
      <c r="Y226" s="21">
        <v>0.44369999999999998</v>
      </c>
      <c r="Z226" s="19"/>
      <c r="AA226" s="19">
        <v>98</v>
      </c>
      <c r="AB226" s="23">
        <v>4.5</v>
      </c>
    </row>
    <row r="227" spans="1:28" ht="18" customHeight="1" x14ac:dyDescent="0.2">
      <c r="A227" s="19" t="s">
        <v>361</v>
      </c>
      <c r="B227" s="19" t="s">
        <v>348</v>
      </c>
      <c r="C227" s="19" t="s">
        <v>22</v>
      </c>
      <c r="D227" s="19" t="s">
        <v>102</v>
      </c>
      <c r="E227" s="19" t="s">
        <v>116</v>
      </c>
      <c r="F227" s="19" t="s">
        <v>161</v>
      </c>
      <c r="G227" s="19" t="s">
        <v>97</v>
      </c>
      <c r="H227" s="19" t="s">
        <v>57</v>
      </c>
      <c r="I227" s="19">
        <v>112316</v>
      </c>
      <c r="J227" s="19">
        <v>4168</v>
      </c>
      <c r="K227" s="19">
        <v>3411</v>
      </c>
      <c r="L227" s="19">
        <v>496</v>
      </c>
      <c r="M227" s="19">
        <v>1128</v>
      </c>
      <c r="N227" s="19">
        <v>572</v>
      </c>
      <c r="O227" s="19">
        <v>186</v>
      </c>
      <c r="P227" s="19">
        <v>186</v>
      </c>
      <c r="Q227" s="20">
        <v>18042</v>
      </c>
      <c r="R227" s="20">
        <v>0</v>
      </c>
      <c r="S227" s="19">
        <v>97</v>
      </c>
      <c r="T227" s="21">
        <v>3.7100000000000001E-2</v>
      </c>
      <c r="U227" s="21">
        <v>5.45E-2</v>
      </c>
      <c r="V227" s="20">
        <v>0</v>
      </c>
      <c r="W227" s="20">
        <v>0</v>
      </c>
      <c r="X227" s="22">
        <v>0</v>
      </c>
      <c r="Y227" s="21">
        <v>0.44940000000000002</v>
      </c>
      <c r="Z227" s="19"/>
      <c r="AA227" s="19">
        <v>89</v>
      </c>
      <c r="AB227" s="23">
        <v>4</v>
      </c>
    </row>
    <row r="228" spans="1:28" ht="18" customHeight="1" x14ac:dyDescent="0.2">
      <c r="A228" s="19" t="s">
        <v>362</v>
      </c>
      <c r="B228" s="19" t="s">
        <v>348</v>
      </c>
      <c r="C228" s="19" t="s">
        <v>20</v>
      </c>
      <c r="D228" s="19" t="s">
        <v>90</v>
      </c>
      <c r="E228" s="19" t="s">
        <v>86</v>
      </c>
      <c r="F228" s="19" t="s">
        <v>132</v>
      </c>
      <c r="G228" s="19" t="s">
        <v>93</v>
      </c>
      <c r="H228" s="19" t="s">
        <v>58</v>
      </c>
      <c r="I228" s="19">
        <v>57653</v>
      </c>
      <c r="J228" s="19">
        <v>725</v>
      </c>
      <c r="K228" s="19">
        <v>586</v>
      </c>
      <c r="L228" s="19">
        <v>51</v>
      </c>
      <c r="M228" s="19">
        <v>192</v>
      </c>
      <c r="N228" s="19">
        <v>78</v>
      </c>
      <c r="O228" s="19">
        <v>43</v>
      </c>
      <c r="P228" s="19">
        <v>43</v>
      </c>
      <c r="Q228" s="20">
        <v>5848</v>
      </c>
      <c r="R228" s="20">
        <v>21429</v>
      </c>
      <c r="S228" s="19">
        <v>136</v>
      </c>
      <c r="T228" s="21">
        <v>1.26E-2</v>
      </c>
      <c r="U228" s="21">
        <v>7.3400000000000007E-2</v>
      </c>
      <c r="V228" s="20">
        <v>498.35</v>
      </c>
      <c r="W228" s="20">
        <v>29.56</v>
      </c>
      <c r="X228" s="22">
        <v>0.27</v>
      </c>
      <c r="Y228" s="21">
        <v>0.2218</v>
      </c>
      <c r="Z228" s="19"/>
      <c r="AA228" s="19">
        <v>94</v>
      </c>
      <c r="AB228" s="23">
        <v>4.2</v>
      </c>
    </row>
    <row r="229" spans="1:28" ht="18" customHeight="1" x14ac:dyDescent="0.2">
      <c r="A229" s="19" t="s">
        <v>363</v>
      </c>
      <c r="B229" s="19" t="s">
        <v>348</v>
      </c>
      <c r="C229" s="19" t="s">
        <v>17</v>
      </c>
      <c r="D229" s="19" t="s">
        <v>102</v>
      </c>
      <c r="E229" s="19" t="s">
        <v>114</v>
      </c>
      <c r="F229" s="19" t="s">
        <v>110</v>
      </c>
      <c r="G229" s="19" t="s">
        <v>97</v>
      </c>
      <c r="H229" s="19" t="s">
        <v>58</v>
      </c>
      <c r="I229" s="19">
        <v>192963</v>
      </c>
      <c r="J229" s="19">
        <v>13745</v>
      </c>
      <c r="K229" s="19">
        <v>13837</v>
      </c>
      <c r="L229" s="19">
        <v>1837</v>
      </c>
      <c r="M229" s="19">
        <v>2754</v>
      </c>
      <c r="N229" s="19">
        <v>1532</v>
      </c>
      <c r="O229" s="19">
        <v>549</v>
      </c>
      <c r="P229" s="19">
        <v>549</v>
      </c>
      <c r="Q229" s="20">
        <v>65880</v>
      </c>
      <c r="R229" s="20">
        <v>0</v>
      </c>
      <c r="S229" s="19">
        <v>120</v>
      </c>
      <c r="T229" s="21">
        <v>7.1199999999999999E-2</v>
      </c>
      <c r="U229" s="21">
        <v>3.9699999999999999E-2</v>
      </c>
      <c r="V229" s="20">
        <v>0</v>
      </c>
      <c r="W229" s="20">
        <v>0</v>
      </c>
      <c r="X229" s="22">
        <v>0</v>
      </c>
      <c r="Y229" s="21">
        <v>0.25600000000000001</v>
      </c>
      <c r="Z229" s="19">
        <v>2</v>
      </c>
      <c r="AA229" s="19">
        <v>81</v>
      </c>
      <c r="AB229" s="23">
        <v>4.4000000000000004</v>
      </c>
    </row>
    <row r="230" spans="1:28" ht="18" customHeight="1" x14ac:dyDescent="0.2">
      <c r="A230" s="19" t="s">
        <v>364</v>
      </c>
      <c r="B230" s="19" t="s">
        <v>348</v>
      </c>
      <c r="C230" s="19" t="s">
        <v>20</v>
      </c>
      <c r="D230" s="19" t="s">
        <v>90</v>
      </c>
      <c r="E230" s="19" t="s">
        <v>116</v>
      </c>
      <c r="F230" s="19" t="s">
        <v>134</v>
      </c>
      <c r="G230" s="19" t="s">
        <v>88</v>
      </c>
      <c r="H230" s="19" t="s">
        <v>57</v>
      </c>
      <c r="I230" s="19">
        <v>142917</v>
      </c>
      <c r="J230" s="19">
        <v>12134</v>
      </c>
      <c r="K230" s="19">
        <v>12947</v>
      </c>
      <c r="L230" s="19">
        <v>1462</v>
      </c>
      <c r="M230" s="19">
        <v>2920</v>
      </c>
      <c r="N230" s="19">
        <v>1855</v>
      </c>
      <c r="O230" s="19">
        <v>1213</v>
      </c>
      <c r="P230" s="19">
        <v>1213</v>
      </c>
      <c r="Q230" s="20">
        <v>95827</v>
      </c>
      <c r="R230" s="20">
        <v>19687</v>
      </c>
      <c r="S230" s="19">
        <v>79</v>
      </c>
      <c r="T230" s="21">
        <v>8.4900000000000003E-2</v>
      </c>
      <c r="U230" s="21">
        <v>9.3700000000000006E-2</v>
      </c>
      <c r="V230" s="20">
        <v>16.23</v>
      </c>
      <c r="W230" s="20">
        <v>1.62</v>
      </c>
      <c r="X230" s="22">
        <v>4.87</v>
      </c>
      <c r="Y230" s="21">
        <v>0.25280000000000002</v>
      </c>
      <c r="Z230" s="19"/>
      <c r="AA230" s="19">
        <v>70</v>
      </c>
      <c r="AB230" s="23">
        <v>4.2</v>
      </c>
    </row>
    <row r="231" spans="1:28" ht="18" customHeight="1" x14ac:dyDescent="0.2">
      <c r="A231" s="19" t="s">
        <v>365</v>
      </c>
      <c r="B231" s="19" t="s">
        <v>348</v>
      </c>
      <c r="C231" s="19" t="s">
        <v>20</v>
      </c>
      <c r="D231" s="19" t="s">
        <v>85</v>
      </c>
      <c r="E231" s="19" t="s">
        <v>91</v>
      </c>
      <c r="F231" s="19" t="s">
        <v>134</v>
      </c>
      <c r="G231" s="19" t="s">
        <v>93</v>
      </c>
      <c r="H231" s="19" t="s">
        <v>58</v>
      </c>
      <c r="I231" s="19">
        <v>233368</v>
      </c>
      <c r="J231" s="19">
        <v>13657</v>
      </c>
      <c r="K231" s="19">
        <v>10796</v>
      </c>
      <c r="L231" s="19">
        <v>1624</v>
      </c>
      <c r="M231" s="19">
        <v>2131</v>
      </c>
      <c r="N231" s="19">
        <v>1400</v>
      </c>
      <c r="O231" s="19">
        <v>921</v>
      </c>
      <c r="P231" s="19">
        <v>921</v>
      </c>
      <c r="Q231" s="20">
        <v>91179</v>
      </c>
      <c r="R231" s="20">
        <v>11460</v>
      </c>
      <c r="S231" s="19">
        <v>99</v>
      </c>
      <c r="T231" s="21">
        <v>5.8500000000000003E-2</v>
      </c>
      <c r="U231" s="21">
        <v>8.5300000000000001E-2</v>
      </c>
      <c r="V231" s="20">
        <v>12.44</v>
      </c>
      <c r="W231" s="20">
        <v>0.84</v>
      </c>
      <c r="X231" s="22">
        <v>7.96</v>
      </c>
      <c r="Y231" s="21">
        <v>0.60860000000000003</v>
      </c>
      <c r="Z231" s="19"/>
      <c r="AA231" s="19">
        <v>68</v>
      </c>
      <c r="AB231" s="23">
        <v>4.7</v>
      </c>
    </row>
    <row r="232" spans="1:28" ht="18" customHeight="1" x14ac:dyDescent="0.2">
      <c r="A232" s="19" t="s">
        <v>366</v>
      </c>
      <c r="B232" s="19" t="s">
        <v>348</v>
      </c>
      <c r="C232" s="19" t="s">
        <v>19</v>
      </c>
      <c r="D232" s="19" t="s">
        <v>102</v>
      </c>
      <c r="E232" s="19" t="s">
        <v>86</v>
      </c>
      <c r="F232" s="19" t="s">
        <v>192</v>
      </c>
      <c r="G232" s="19" t="s">
        <v>121</v>
      </c>
      <c r="H232" s="19" t="s">
        <v>57</v>
      </c>
      <c r="I232" s="19">
        <v>60289</v>
      </c>
      <c r="J232" s="19">
        <v>4406</v>
      </c>
      <c r="K232" s="19">
        <v>3642</v>
      </c>
      <c r="L232" s="19">
        <v>379</v>
      </c>
      <c r="M232" s="19">
        <v>589</v>
      </c>
      <c r="N232" s="19">
        <v>415</v>
      </c>
      <c r="O232" s="19">
        <v>129</v>
      </c>
      <c r="P232" s="19">
        <v>129</v>
      </c>
      <c r="Q232" s="20">
        <v>22059</v>
      </c>
      <c r="R232" s="20">
        <v>29527</v>
      </c>
      <c r="S232" s="19">
        <v>171</v>
      </c>
      <c r="T232" s="21">
        <v>7.3099999999999998E-2</v>
      </c>
      <c r="U232" s="21">
        <v>3.5400000000000001E-2</v>
      </c>
      <c r="V232" s="20">
        <v>228.89</v>
      </c>
      <c r="W232" s="20">
        <v>6.7</v>
      </c>
      <c r="X232" s="22">
        <v>0.75</v>
      </c>
      <c r="Y232" s="21">
        <v>0.65510000000000002</v>
      </c>
      <c r="Z232" s="19"/>
      <c r="AA232" s="19">
        <v>63</v>
      </c>
      <c r="AB232" s="23">
        <v>4.7</v>
      </c>
    </row>
    <row r="233" spans="1:28" ht="18" customHeight="1" x14ac:dyDescent="0.2">
      <c r="A233" s="19" t="s">
        <v>367</v>
      </c>
      <c r="B233" s="19" t="s">
        <v>348</v>
      </c>
      <c r="C233" s="19" t="s">
        <v>21</v>
      </c>
      <c r="D233" s="19" t="s">
        <v>85</v>
      </c>
      <c r="E233" s="19" t="s">
        <v>114</v>
      </c>
      <c r="F233" s="19" t="s">
        <v>123</v>
      </c>
      <c r="G233" s="19" t="s">
        <v>121</v>
      </c>
      <c r="H233" s="19" t="s">
        <v>57</v>
      </c>
      <c r="I233" s="19">
        <v>31253</v>
      </c>
      <c r="J233" s="19">
        <v>561</v>
      </c>
      <c r="K233" s="19">
        <v>432</v>
      </c>
      <c r="L233" s="19">
        <v>85</v>
      </c>
      <c r="M233" s="19">
        <v>140</v>
      </c>
      <c r="N233" s="19">
        <v>68</v>
      </c>
      <c r="O233" s="19">
        <v>25</v>
      </c>
      <c r="P233" s="19">
        <v>25</v>
      </c>
      <c r="Q233" s="20">
        <v>1350</v>
      </c>
      <c r="R233" s="20">
        <v>0</v>
      </c>
      <c r="S233" s="19">
        <v>54</v>
      </c>
      <c r="T233" s="21">
        <v>1.7999999999999999E-2</v>
      </c>
      <c r="U233" s="21">
        <v>5.79E-2</v>
      </c>
      <c r="V233" s="20">
        <v>0</v>
      </c>
      <c r="W233" s="20">
        <v>0</v>
      </c>
      <c r="X233" s="22">
        <v>0</v>
      </c>
      <c r="Y233" s="21">
        <v>0.18129999999999999</v>
      </c>
      <c r="Z233" s="19"/>
      <c r="AA233" s="19">
        <v>80</v>
      </c>
      <c r="AB233" s="23">
        <v>4.5</v>
      </c>
    </row>
    <row r="234" spans="1:28" ht="18" customHeight="1" x14ac:dyDescent="0.2">
      <c r="A234" s="19" t="s">
        <v>368</v>
      </c>
      <c r="B234" s="19" t="s">
        <v>348</v>
      </c>
      <c r="C234" s="19" t="s">
        <v>19</v>
      </c>
      <c r="D234" s="19" t="s">
        <v>102</v>
      </c>
      <c r="E234" s="19" t="s">
        <v>114</v>
      </c>
      <c r="F234" s="19" t="s">
        <v>192</v>
      </c>
      <c r="G234" s="19" t="s">
        <v>88</v>
      </c>
      <c r="H234" s="19" t="s">
        <v>58</v>
      </c>
      <c r="I234" s="19">
        <v>126953</v>
      </c>
      <c r="J234" s="19">
        <v>9610</v>
      </c>
      <c r="K234" s="19">
        <v>7913</v>
      </c>
      <c r="L234" s="19">
        <v>769</v>
      </c>
      <c r="M234" s="19">
        <v>2694</v>
      </c>
      <c r="N234" s="19">
        <v>1072</v>
      </c>
      <c r="O234" s="19">
        <v>82</v>
      </c>
      <c r="P234" s="19">
        <v>82</v>
      </c>
      <c r="Q234" s="20">
        <v>7052</v>
      </c>
      <c r="R234" s="20">
        <v>29335</v>
      </c>
      <c r="S234" s="19">
        <v>86</v>
      </c>
      <c r="T234" s="21">
        <v>7.5700000000000003E-2</v>
      </c>
      <c r="U234" s="21">
        <v>1.04E-2</v>
      </c>
      <c r="V234" s="20">
        <v>357.74</v>
      </c>
      <c r="W234" s="20">
        <v>3.05</v>
      </c>
      <c r="X234" s="22">
        <v>0.24</v>
      </c>
      <c r="Y234" s="21">
        <v>0.64090000000000003</v>
      </c>
      <c r="Z234" s="19"/>
      <c r="AA234" s="19">
        <v>88</v>
      </c>
      <c r="AB234" s="23">
        <v>4.4000000000000004</v>
      </c>
    </row>
    <row r="235" spans="1:28" ht="18" customHeight="1" x14ac:dyDescent="0.2">
      <c r="A235" s="19" t="s">
        <v>369</v>
      </c>
      <c r="B235" s="19" t="s">
        <v>348</v>
      </c>
      <c r="C235" s="19" t="s">
        <v>19</v>
      </c>
      <c r="D235" s="19" t="s">
        <v>102</v>
      </c>
      <c r="E235" s="19" t="s">
        <v>114</v>
      </c>
      <c r="F235" s="19" t="s">
        <v>105</v>
      </c>
      <c r="G235" s="19" t="s">
        <v>88</v>
      </c>
      <c r="H235" s="19" t="s">
        <v>58</v>
      </c>
      <c r="I235" s="19">
        <v>30886</v>
      </c>
      <c r="J235" s="19">
        <v>1339</v>
      </c>
      <c r="K235" s="19">
        <v>1077</v>
      </c>
      <c r="L235" s="19">
        <v>135</v>
      </c>
      <c r="M235" s="19">
        <v>161</v>
      </c>
      <c r="N235" s="19">
        <v>100</v>
      </c>
      <c r="O235" s="19">
        <v>39</v>
      </c>
      <c r="P235" s="19">
        <v>39</v>
      </c>
      <c r="Q235" s="20">
        <v>2496</v>
      </c>
      <c r="R235" s="20">
        <v>3320</v>
      </c>
      <c r="S235" s="19">
        <v>64</v>
      </c>
      <c r="T235" s="21">
        <v>4.3400000000000001E-2</v>
      </c>
      <c r="U235" s="21">
        <v>3.6200000000000003E-2</v>
      </c>
      <c r="V235" s="20">
        <v>85.13</v>
      </c>
      <c r="W235" s="20">
        <v>2.48</v>
      </c>
      <c r="X235" s="22">
        <v>0.75</v>
      </c>
      <c r="Y235" s="21">
        <v>0.50819999999999999</v>
      </c>
      <c r="Z235" s="19"/>
      <c r="AA235" s="19">
        <v>66</v>
      </c>
      <c r="AB235" s="23">
        <v>4.8</v>
      </c>
    </row>
    <row r="236" spans="1:28" ht="18" customHeight="1" x14ac:dyDescent="0.2">
      <c r="A236" s="19" t="s">
        <v>370</v>
      </c>
      <c r="B236" s="19" t="s">
        <v>348</v>
      </c>
      <c r="C236" s="19" t="s">
        <v>18</v>
      </c>
      <c r="D236" s="19" t="s">
        <v>102</v>
      </c>
      <c r="E236" s="19" t="s">
        <v>86</v>
      </c>
      <c r="F236" s="19" t="s">
        <v>176</v>
      </c>
      <c r="G236" s="19" t="s">
        <v>93</v>
      </c>
      <c r="H236" s="19" t="s">
        <v>58</v>
      </c>
      <c r="I236" s="19">
        <v>210866</v>
      </c>
      <c r="J236" s="19">
        <v>16449</v>
      </c>
      <c r="K236" s="19">
        <v>17662</v>
      </c>
      <c r="L236" s="19">
        <v>2028</v>
      </c>
      <c r="M236" s="19">
        <v>4279</v>
      </c>
      <c r="N236" s="19">
        <v>1979</v>
      </c>
      <c r="O236" s="19">
        <v>726</v>
      </c>
      <c r="P236" s="19">
        <v>726</v>
      </c>
      <c r="Q236" s="20">
        <v>34848</v>
      </c>
      <c r="R236" s="20">
        <v>4224</v>
      </c>
      <c r="S236" s="19">
        <v>48</v>
      </c>
      <c r="T236" s="21">
        <v>7.8E-2</v>
      </c>
      <c r="U236" s="21">
        <v>4.1099999999999998E-2</v>
      </c>
      <c r="V236" s="20">
        <v>5.82</v>
      </c>
      <c r="W236" s="20">
        <v>0.26</v>
      </c>
      <c r="X236" s="22">
        <v>8.25</v>
      </c>
      <c r="Y236" s="21">
        <v>0.60660000000000003</v>
      </c>
      <c r="Z236" s="19"/>
      <c r="AA236" s="19">
        <v>62</v>
      </c>
      <c r="AB236" s="23">
        <v>3.9</v>
      </c>
    </row>
    <row r="237" spans="1:28" ht="18" customHeight="1" x14ac:dyDescent="0.2">
      <c r="A237" s="19" t="s">
        <v>371</v>
      </c>
      <c r="B237" s="19" t="s">
        <v>348</v>
      </c>
      <c r="C237" s="19" t="s">
        <v>17</v>
      </c>
      <c r="D237" s="19" t="s">
        <v>102</v>
      </c>
      <c r="E237" s="19" t="s">
        <v>91</v>
      </c>
      <c r="F237" s="19" t="s">
        <v>187</v>
      </c>
      <c r="G237" s="19" t="s">
        <v>93</v>
      </c>
      <c r="H237" s="19" t="s">
        <v>57</v>
      </c>
      <c r="I237" s="19">
        <v>141771</v>
      </c>
      <c r="J237" s="19">
        <v>3273</v>
      </c>
      <c r="K237" s="19">
        <v>3458</v>
      </c>
      <c r="L237" s="19">
        <v>472</v>
      </c>
      <c r="M237" s="19">
        <v>824</v>
      </c>
      <c r="N237" s="19">
        <v>370</v>
      </c>
      <c r="O237" s="19">
        <v>120</v>
      </c>
      <c r="P237" s="19">
        <v>120</v>
      </c>
      <c r="Q237" s="20">
        <v>16320</v>
      </c>
      <c r="R237" s="20">
        <v>0</v>
      </c>
      <c r="S237" s="19">
        <v>136</v>
      </c>
      <c r="T237" s="21">
        <v>2.3099999999999999E-2</v>
      </c>
      <c r="U237" s="21">
        <v>3.4700000000000002E-2</v>
      </c>
      <c r="V237" s="20">
        <v>0</v>
      </c>
      <c r="W237" s="20">
        <v>0</v>
      </c>
      <c r="X237" s="22">
        <v>0</v>
      </c>
      <c r="Y237" s="21">
        <v>0.44990000000000002</v>
      </c>
      <c r="Z237" s="19">
        <v>8</v>
      </c>
      <c r="AA237" s="19">
        <v>71</v>
      </c>
      <c r="AB237" s="23">
        <v>4.5</v>
      </c>
    </row>
    <row r="238" spans="1:28" ht="18" customHeight="1" x14ac:dyDescent="0.2">
      <c r="A238" s="19" t="s">
        <v>372</v>
      </c>
      <c r="B238" s="19" t="s">
        <v>348</v>
      </c>
      <c r="C238" s="19" t="s">
        <v>19</v>
      </c>
      <c r="D238" s="19" t="s">
        <v>102</v>
      </c>
      <c r="E238" s="19" t="s">
        <v>107</v>
      </c>
      <c r="F238" s="19" t="s">
        <v>231</v>
      </c>
      <c r="G238" s="19" t="s">
        <v>88</v>
      </c>
      <c r="H238" s="19" t="s">
        <v>58</v>
      </c>
      <c r="I238" s="19">
        <v>260513</v>
      </c>
      <c r="J238" s="19">
        <v>17192</v>
      </c>
      <c r="K238" s="19">
        <v>12494</v>
      </c>
      <c r="L238" s="19">
        <v>2030</v>
      </c>
      <c r="M238" s="19">
        <v>4171</v>
      </c>
      <c r="N238" s="19">
        <v>2162</v>
      </c>
      <c r="O238" s="19">
        <v>426</v>
      </c>
      <c r="P238" s="19">
        <v>426</v>
      </c>
      <c r="Q238" s="20">
        <v>74550</v>
      </c>
      <c r="R238" s="20">
        <v>4876</v>
      </c>
      <c r="S238" s="19">
        <v>175</v>
      </c>
      <c r="T238" s="21">
        <v>6.6000000000000003E-2</v>
      </c>
      <c r="U238" s="21">
        <v>3.4099999999999998E-2</v>
      </c>
      <c r="V238" s="20">
        <v>11.45</v>
      </c>
      <c r="W238" s="20">
        <v>0.28000000000000003</v>
      </c>
      <c r="X238" s="22">
        <v>15.29</v>
      </c>
      <c r="Y238" s="21">
        <v>0.40260000000000001</v>
      </c>
      <c r="Z238" s="19"/>
      <c r="AA238" s="19">
        <v>64</v>
      </c>
      <c r="AB238" s="23">
        <v>4.4000000000000004</v>
      </c>
    </row>
    <row r="239" spans="1:28" ht="18" customHeight="1" x14ac:dyDescent="0.2">
      <c r="A239" s="19" t="s">
        <v>373</v>
      </c>
      <c r="B239" s="19" t="s">
        <v>348</v>
      </c>
      <c r="C239" s="19" t="s">
        <v>18</v>
      </c>
      <c r="D239" s="19" t="s">
        <v>102</v>
      </c>
      <c r="E239" s="19" t="s">
        <v>91</v>
      </c>
      <c r="F239" s="19" t="s">
        <v>176</v>
      </c>
      <c r="G239" s="19" t="s">
        <v>88</v>
      </c>
      <c r="H239" s="19" t="s">
        <v>58</v>
      </c>
      <c r="I239" s="19">
        <v>119102</v>
      </c>
      <c r="J239" s="19">
        <v>9136</v>
      </c>
      <c r="K239" s="19">
        <v>7939</v>
      </c>
      <c r="L239" s="19">
        <v>1191</v>
      </c>
      <c r="M239" s="19">
        <v>2757</v>
      </c>
      <c r="N239" s="19">
        <v>1445</v>
      </c>
      <c r="O239" s="19">
        <v>492</v>
      </c>
      <c r="P239" s="19">
        <v>492</v>
      </c>
      <c r="Q239" s="20">
        <v>48708</v>
      </c>
      <c r="R239" s="20">
        <v>13892</v>
      </c>
      <c r="S239" s="19">
        <v>99</v>
      </c>
      <c r="T239" s="21">
        <v>7.6700000000000004E-2</v>
      </c>
      <c r="U239" s="21">
        <v>6.2E-2</v>
      </c>
      <c r="V239" s="20">
        <v>28.24</v>
      </c>
      <c r="W239" s="20">
        <v>1.52</v>
      </c>
      <c r="X239" s="22">
        <v>3.51</v>
      </c>
      <c r="Y239" s="21">
        <v>0.2384</v>
      </c>
      <c r="Z239" s="19"/>
      <c r="AA239" s="19">
        <v>75</v>
      </c>
      <c r="AB239" s="23">
        <v>4.5999999999999996</v>
      </c>
    </row>
    <row r="240" spans="1:28" ht="18" customHeight="1" x14ac:dyDescent="0.2">
      <c r="A240" s="19" t="s">
        <v>374</v>
      </c>
      <c r="B240" s="19" t="s">
        <v>348</v>
      </c>
      <c r="C240" s="19" t="s">
        <v>19</v>
      </c>
      <c r="D240" s="19" t="s">
        <v>102</v>
      </c>
      <c r="E240" s="19" t="s">
        <v>86</v>
      </c>
      <c r="F240" s="19" t="s">
        <v>231</v>
      </c>
      <c r="G240" s="19" t="s">
        <v>93</v>
      </c>
      <c r="H240" s="19" t="s">
        <v>58</v>
      </c>
      <c r="I240" s="19">
        <v>60651</v>
      </c>
      <c r="J240" s="19">
        <v>4738</v>
      </c>
      <c r="K240" s="19">
        <v>4270</v>
      </c>
      <c r="L240" s="19">
        <v>873</v>
      </c>
      <c r="M240" s="19">
        <v>625</v>
      </c>
      <c r="N240" s="19">
        <v>351</v>
      </c>
      <c r="O240" s="19">
        <v>88</v>
      </c>
      <c r="P240" s="19">
        <v>88</v>
      </c>
      <c r="Q240" s="20">
        <v>12848</v>
      </c>
      <c r="R240" s="20">
        <v>3281</v>
      </c>
      <c r="S240" s="19">
        <v>146</v>
      </c>
      <c r="T240" s="21">
        <v>7.8100000000000003E-2</v>
      </c>
      <c r="U240" s="21">
        <v>2.06E-2</v>
      </c>
      <c r="V240" s="20">
        <v>37.28</v>
      </c>
      <c r="W240" s="20">
        <v>0.69</v>
      </c>
      <c r="X240" s="22">
        <v>3.92</v>
      </c>
      <c r="Y240" s="21">
        <v>0.2409</v>
      </c>
      <c r="Z240" s="19"/>
      <c r="AA240" s="19">
        <v>88</v>
      </c>
      <c r="AB240" s="23">
        <v>3.7</v>
      </c>
    </row>
    <row r="241" spans="1:28" ht="18" customHeight="1" x14ac:dyDescent="0.2">
      <c r="A241" s="19" t="s">
        <v>375</v>
      </c>
      <c r="B241" s="19" t="s">
        <v>348</v>
      </c>
      <c r="C241" s="19" t="s">
        <v>22</v>
      </c>
      <c r="D241" s="19" t="s">
        <v>102</v>
      </c>
      <c r="E241" s="19" t="s">
        <v>86</v>
      </c>
      <c r="F241" s="19" t="s">
        <v>161</v>
      </c>
      <c r="G241" s="19" t="s">
        <v>118</v>
      </c>
      <c r="H241" s="19" t="s">
        <v>58</v>
      </c>
      <c r="I241" s="19">
        <v>225471</v>
      </c>
      <c r="J241" s="19">
        <v>4705</v>
      </c>
      <c r="K241" s="19">
        <v>3989</v>
      </c>
      <c r="L241" s="19">
        <v>623</v>
      </c>
      <c r="M241" s="19">
        <v>543</v>
      </c>
      <c r="N241" s="19">
        <v>200</v>
      </c>
      <c r="O241" s="19">
        <v>120</v>
      </c>
      <c r="P241" s="19">
        <v>120</v>
      </c>
      <c r="Q241" s="20">
        <v>11280</v>
      </c>
      <c r="R241" s="20">
        <v>0</v>
      </c>
      <c r="S241" s="19">
        <v>94</v>
      </c>
      <c r="T241" s="21">
        <v>2.0899999999999998E-2</v>
      </c>
      <c r="U241" s="21">
        <v>3.0099999999999998E-2</v>
      </c>
      <c r="V241" s="20">
        <v>0</v>
      </c>
      <c r="W241" s="20">
        <v>0</v>
      </c>
      <c r="X241" s="22">
        <v>0</v>
      </c>
      <c r="Y241" s="21">
        <v>0.55640000000000001</v>
      </c>
      <c r="Z241" s="19"/>
      <c r="AA241" s="19">
        <v>91</v>
      </c>
      <c r="AB241" s="23">
        <v>4.7</v>
      </c>
    </row>
  </sheetData>
  <autoFilter ref="A1:AB24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52.1640625" customWidth="1"/>
  </cols>
  <sheetData>
    <row r="1" spans="1:2" ht="18" customHeight="1" x14ac:dyDescent="0.2">
      <c r="A1" s="12" t="s">
        <v>376</v>
      </c>
      <c r="B1" s="1"/>
    </row>
    <row r="2" spans="1:2" ht="18" customHeight="1" x14ac:dyDescent="0.2">
      <c r="A2" s="1"/>
      <c r="B2" s="1"/>
    </row>
    <row r="3" spans="1:2" ht="18" customHeight="1" x14ac:dyDescent="0.2">
      <c r="A3" s="2" t="s">
        <v>377</v>
      </c>
      <c r="B3" s="2" t="s">
        <v>378</v>
      </c>
    </row>
    <row r="4" spans="1:2" ht="18" customHeight="1" x14ac:dyDescent="0.2">
      <c r="A4" s="1" t="s">
        <v>11</v>
      </c>
      <c r="B4" s="1" t="s">
        <v>379</v>
      </c>
    </row>
    <row r="5" spans="1:2" ht="18" customHeight="1" x14ac:dyDescent="0.2">
      <c r="A5" s="1" t="s">
        <v>12</v>
      </c>
      <c r="B5" s="1" t="s">
        <v>380</v>
      </c>
    </row>
    <row r="6" spans="1:2" ht="18" customHeight="1" x14ac:dyDescent="0.2">
      <c r="A6" s="1" t="s">
        <v>6</v>
      </c>
      <c r="B6" s="1" t="s">
        <v>381</v>
      </c>
    </row>
    <row r="7" spans="1:2" ht="18" customHeight="1" x14ac:dyDescent="0.2">
      <c r="A7" s="1" t="s">
        <v>15</v>
      </c>
      <c r="B7" s="1" t="s">
        <v>382</v>
      </c>
    </row>
    <row r="8" spans="1:2" ht="18" customHeight="1" x14ac:dyDescent="0.2">
      <c r="A8" s="1" t="s">
        <v>5</v>
      </c>
      <c r="B8" s="1" t="s">
        <v>383</v>
      </c>
    </row>
    <row r="9" spans="1:2" ht="18" customHeight="1" x14ac:dyDescent="0.2">
      <c r="A9" s="1" t="s">
        <v>76</v>
      </c>
      <c r="B9" s="1" t="s">
        <v>384</v>
      </c>
    </row>
    <row r="10" spans="1:2" ht="18" customHeight="1" x14ac:dyDescent="0.2">
      <c r="A10" s="1" t="s">
        <v>385</v>
      </c>
      <c r="B10" s="1" t="s">
        <v>386</v>
      </c>
    </row>
    <row r="11" spans="1:2" ht="18" customHeight="1" x14ac:dyDescent="0.2">
      <c r="A11" s="1" t="s">
        <v>387</v>
      </c>
      <c r="B11" s="1" t="s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Scenario Planner</vt:lpstr>
      <vt:lpstr>SEO_SEM Analysis</vt:lpstr>
      <vt:lpstr>AB Testing</vt:lpstr>
      <vt:lpstr>Raw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2026-05-08T04:36:49Z</dcterms:created>
  <dcterms:modified xsi:type="dcterms:W3CDTF">2026-05-08T04:39:17Z</dcterms:modified>
</cp:coreProperties>
</file>